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icrosofteur-my.sharepoint.com/personal/dohughes_microsoft_com/Documents/Documents/GitHub/azure/projects/SavingsPlanCalculator/"/>
    </mc:Choice>
  </mc:AlternateContent>
  <xr:revisionPtr revIDLastSave="4164" documentId="8_{C0F6CB5B-D838-4592-B93D-2D212031DFC2}" xr6:coauthVersionLast="47" xr6:coauthVersionMax="47" xr10:uidLastSave="{AB36C627-09CC-4745-A870-C4692F379C51}"/>
  <bookViews>
    <workbookView xWindow="-120" yWindow="-120" windowWidth="57840" windowHeight="23520" activeTab="2" xr2:uid="{00000000-000D-0000-FFFF-FFFF00000000}"/>
  </bookViews>
  <sheets>
    <sheet name="VersionHistory" sheetId="30" r:id="rId1"/>
    <sheet name="Intro" sheetId="16" r:id="rId2"/>
    <sheet name="Instructions" sheetId="29" r:id="rId3"/>
    <sheet name="Parameters" sheetId="17" r:id="rId4"/>
    <sheet name="Data - SpendByPricingModel" sheetId="20" r:id="rId5"/>
    <sheet name="Data - SpendByVMFamily" sheetId="19" r:id="rId6"/>
    <sheet name="DiscountCalculator" sheetId="27" r:id="rId7"/>
    <sheet name="Pivots" sheetId="22" r:id="rId8"/>
    <sheet name="Summary" sheetId="28" r:id="rId9"/>
    <sheet name="SavingsPlan" sheetId="10" r:id="rId10"/>
    <sheet name="Discounts" sheetId="14" r:id="rId11"/>
  </sheets>
  <definedNames>
    <definedName name="AVGDISCSP1Y">Summary!$E$5</definedName>
    <definedName name="AVGDISCSP3Y">Summary!$E$6</definedName>
    <definedName name="CSVPATH">Parameters!$B$10</definedName>
    <definedName name="CURR">Parameters!$B$5</definedName>
    <definedName name="CUSTNAME">Parameters!$B$4</definedName>
    <definedName name="ExternalData_1" localSheetId="5" hidden="1">'Data - SpendByVMFamily'!$A$1:$E$13</definedName>
    <definedName name="ExternalData_2" localSheetId="4" hidden="1">'Data - SpendByPricingModel'!$A$1:$D$19</definedName>
    <definedName name="ExternalData_2" localSheetId="6" hidden="1">DiscountCalculator!$A$1:$N$13</definedName>
    <definedName name="GROWTH">Parameters!$B$9</definedName>
    <definedName name="PAYGDISC">Parameters!$B$6</definedName>
    <definedName name="RIEXTRADISC">Parameters!$B$7</definedName>
    <definedName name="SPCOMMIT">SavingsPlan!$C$11</definedName>
    <definedName name="SPDISC">SavingsPlan!$C$10</definedName>
    <definedName name="SPEXTRADISC">Parameters!$B$8</definedName>
  </definedNam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27" l="1"/>
  <c r="J14" i="27"/>
  <c r="K14" i="27"/>
  <c r="L14" i="27"/>
  <c r="M14" i="27"/>
  <c r="N14" i="27"/>
  <c r="C11" i="10"/>
  <c r="C3" i="28"/>
  <c r="C4" i="28"/>
  <c r="C5" i="28"/>
  <c r="C6" i="28"/>
  <c r="C2" i="28"/>
  <c r="C9" i="10"/>
  <c r="C8" i="10"/>
  <c r="B20" i="10"/>
  <c r="B21" i="10"/>
  <c r="B22" i="10"/>
  <c r="B23" i="10"/>
  <c r="B19" i="10"/>
  <c r="B18" i="10"/>
  <c r="B1" i="10"/>
  <c r="D11" i="10"/>
  <c r="I14" i="10"/>
  <c r="G18" i="10" l="1"/>
  <c r="B6" i="28"/>
  <c r="B5" i="28"/>
  <c r="B4" i="28"/>
  <c r="B3" i="28"/>
  <c r="B2" i="28"/>
  <c r="E18" i="10"/>
  <c r="E19" i="10"/>
  <c r="E20" i="10"/>
  <c r="E21" i="10"/>
  <c r="E22" i="10"/>
  <c r="E23" i="10"/>
  <c r="D21" i="10"/>
  <c r="D22" i="10"/>
  <c r="D18" i="10"/>
  <c r="D20" i="10"/>
  <c r="D23" i="10"/>
  <c r="D19" i="10"/>
  <c r="B24" i="10"/>
  <c r="B25" i="10" s="1"/>
  <c r="G25" i="10"/>
  <c r="G22" i="10"/>
  <c r="G19" i="10"/>
  <c r="G24" i="10"/>
  <c r="G23" i="10"/>
  <c r="G27" i="10"/>
  <c r="G28" i="10"/>
  <c r="G29" i="10"/>
  <c r="G20" i="10"/>
  <c r="G26" i="10"/>
  <c r="G21" i="10"/>
  <c r="E3" i="28" l="1"/>
  <c r="E6" i="28"/>
  <c r="C10" i="10" s="1"/>
  <c r="C13" i="10" s="1"/>
  <c r="E5" i="28"/>
  <c r="E4" i="28"/>
  <c r="E30" i="10"/>
  <c r="C19" i="10"/>
  <c r="F19" i="10" s="1"/>
  <c r="D30" i="10"/>
  <c r="C20" i="10"/>
  <c r="F20" i="10" s="1"/>
  <c r="C18" i="10"/>
  <c r="F18" i="10" s="1"/>
  <c r="D24" i="10"/>
  <c r="C22" i="10"/>
  <c r="F22" i="10" s="1"/>
  <c r="C23" i="10"/>
  <c r="C21" i="10"/>
  <c r="F21" i="10" s="1"/>
  <c r="J18" i="10"/>
  <c r="B26" i="10"/>
  <c r="B27" i="10" s="1"/>
  <c r="B28" i="10" s="1"/>
  <c r="B29" i="10" s="1"/>
  <c r="F23" i="10"/>
  <c r="C24" i="10"/>
  <c r="C30" i="10"/>
  <c r="F30" i="10" s="1"/>
  <c r="J22" i="10"/>
  <c r="J19" i="10"/>
  <c r="G31" i="10"/>
  <c r="J23" i="10"/>
  <c r="J20" i="10"/>
  <c r="G30" i="10"/>
  <c r="J21" i="10"/>
  <c r="D25" i="10" l="1"/>
  <c r="D26" i="10" s="1"/>
  <c r="E24" i="10"/>
  <c r="F24" i="10"/>
  <c r="C25" i="10"/>
  <c r="I23" i="10"/>
  <c r="H23" i="10" s="1"/>
  <c r="I22" i="10"/>
  <c r="H22" i="10" s="1"/>
  <c r="I19" i="10"/>
  <c r="H19" i="10" s="1"/>
  <c r="I24" i="10"/>
  <c r="H24" i="10" s="1"/>
  <c r="I18" i="10"/>
  <c r="H18" i="10" s="1"/>
  <c r="I20" i="10"/>
  <c r="H20" i="10" s="1"/>
  <c r="I21" i="10"/>
  <c r="H21" i="10" s="1"/>
  <c r="I30" i="10"/>
  <c r="J30" i="10"/>
  <c r="I25" i="10" l="1"/>
  <c r="F25" i="10"/>
  <c r="D27" i="10"/>
  <c r="C26" i="10"/>
  <c r="J24" i="10"/>
  <c r="I26" i="10"/>
  <c r="E25" i="10"/>
  <c r="J25" i="10" s="1"/>
  <c r="K21" i="10"/>
  <c r="L21" i="10"/>
  <c r="K19" i="10"/>
  <c r="K23" i="10"/>
  <c r="L20" i="10"/>
  <c r="L22" i="10"/>
  <c r="L23" i="10"/>
  <c r="K22" i="10"/>
  <c r="K20" i="10"/>
  <c r="L18" i="10"/>
  <c r="K18" i="10"/>
  <c r="H25" i="10" l="1"/>
  <c r="C27" i="10"/>
  <c r="E26" i="10"/>
  <c r="H26" i="10" s="1"/>
  <c r="F26" i="10"/>
  <c r="I27" i="10"/>
  <c r="D28" i="10"/>
  <c r="L24" i="10"/>
  <c r="L19" i="10"/>
  <c r="K24" i="10"/>
  <c r="H30" i="10"/>
  <c r="K30" i="10" s="1"/>
  <c r="K25" i="10" l="1"/>
  <c r="C28" i="10"/>
  <c r="F28" i="10" s="1"/>
  <c r="E27" i="10"/>
  <c r="H27" i="10" s="1"/>
  <c r="J26" i="10"/>
  <c r="L25" i="10"/>
  <c r="F27" i="10"/>
  <c r="I28" i="10"/>
  <c r="D29" i="10"/>
  <c r="L30" i="10"/>
  <c r="C29" i="10" l="1"/>
  <c r="C31" i="10" s="1"/>
  <c r="E28" i="10"/>
  <c r="H28" i="10" s="1"/>
  <c r="J27" i="10"/>
  <c r="K26" i="10"/>
  <c r="L26" i="10"/>
  <c r="I29" i="10"/>
  <c r="D31" i="10"/>
  <c r="F29" i="10" l="1"/>
  <c r="E29" i="10"/>
  <c r="H29" i="10" s="1"/>
  <c r="K27" i="10"/>
  <c r="L27" i="10"/>
  <c r="J28" i="10"/>
  <c r="F31" i="10"/>
  <c r="I31" i="10"/>
  <c r="E31" i="10" l="1"/>
  <c r="J31" i="10" s="1"/>
  <c r="J29" i="10"/>
  <c r="K28" i="10"/>
  <c r="L28" i="10"/>
  <c r="H31" i="10" l="1"/>
  <c r="K29" i="10"/>
  <c r="L29" i="10"/>
  <c r="K31" i="10" l="1"/>
  <c r="L3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85C443-E24B-47CD-BC1F-B7AA11412196}" keepAlive="1" name="Query - ACD" description="Connection to the 'ACD' query in the workbook." type="5" refreshedVersion="8" background="1" saveData="1">
    <dbPr connection="Provider=Microsoft.Mashup.OleDb.1;Data Source=$Workbook$;Location=ACD;Extended Properties=&quot;&quot;" command="SELECT * FROM [ACD]"/>
  </connection>
  <connection id="2" xr16:uid="{AA875D5D-8A34-427B-A521-359EBE3A5614}" keepAlive="1" name="Query - DiscountCalculator" description="Connection to the 'DiscountCalculator' query in the workbook." type="5" refreshedVersion="8" background="1" saveData="1">
    <dbPr connection="Provider=Microsoft.Mashup.OleDb.1;Data Source=$Workbook$;Location=DiscountCalculator;Extended Properties=&quot;&quot;" command="SELECT * FROM [DiscountCalculator]"/>
  </connection>
  <connection id="3" xr16:uid="{A0F7C5D7-6774-42C6-AE1B-DCAE2D93D917}" keepAlive="1" name="Query - DiscountTable" description="Connection to the 'DiscountTable' query in the workbook." type="5" refreshedVersion="0" background="1">
    <dbPr connection="Provider=Microsoft.Mashup.OleDb.1;Data Source=$Workbook$;Location=DiscountTable;Extended Properties=&quot;&quot;" command="SELECT * FROM [DiscountTable]"/>
  </connection>
  <connection id="4" xr16:uid="{C6BEE009-D586-4E35-B329-A91E3D3FB332}" keepAlive="1" name="Query - Merge11" description="Connection to the 'Merge1' query in the workbook." type="5" refreshedVersion="8" background="1" saveData="1">
    <dbPr connection="Provider=Microsoft.Mashup.OleDb.1;Data Source=$Workbook$;Location=Merge1;Extended Properties=&quot;&quot;" command="SELECT * FROM [Merge1]"/>
  </connection>
  <connection id="5" xr16:uid="{44B9414D-995E-47BC-98E4-DFA57C20AEA4}" keepAlive="1" name="Query - RIDISC" description="Connection to the 'RIDISC' query in the workbook." type="5" refreshedVersion="8" background="1" saveData="1">
    <dbPr connection="Provider=Microsoft.Mashup.OleDb.1;Data Source=$Workbook$;Location=RIDISC;Extended Properties=&quot;&quot;" command="SELECT * FROM [RIDISC]"/>
  </connection>
  <connection id="6" xr16:uid="{7716E061-C768-42B6-A8B2-16F119A392F9}" keepAlive="1" name="Query - SPDISC" description="Connection to the 'SPDISC' query in the workbook." type="5" refreshedVersion="8" background="1" saveData="1">
    <dbPr connection="Provider=Microsoft.Mashup.OleDb.1;Data Source=$Workbook$;Location=SPDISC;Extended Properties=&quot;&quot;" command="SELECT * FROM [SPDISC]"/>
  </connection>
  <connection id="7" xr16:uid="{56D63C38-6381-40F0-9F4A-8160D8255AAA}" keepAlive="1" name="Query - SpendByPricingModel" description="Connection to the 'SpendByPricingModel' query in the workbook." type="5" refreshedVersion="8" background="1" saveData="1">
    <dbPr connection="Provider=Microsoft.Mashup.OleDb.1;Data Source=$Workbook$;Location=SpendByPricingModel;Extended Properties=&quot;&quot;" command="SELECT * FROM [SpendByPricingModel]"/>
  </connection>
  <connection id="8" xr16:uid="{5543B120-0EAC-48CF-A856-5B99F5AB8350}" keepAlive="1" name="Query - SpendByVMFamily" description="Connection to the 'SpendByVMFamily' query in the workbook." type="5" refreshedVersion="8" background="1" saveData="1">
    <dbPr connection="Provider=Microsoft.Mashup.OleDb.1;Data Source=$Workbook$;Location=SpendByVMFamily;Extended Properties=&quot;&quot;" command="SELECT * FROM [SpendByVMFamily]"/>
  </connection>
</connections>
</file>

<file path=xl/sharedStrings.xml><?xml version="1.0" encoding="utf-8"?>
<sst xmlns="http://schemas.openxmlformats.org/spreadsheetml/2006/main" count="477" uniqueCount="335">
  <si>
    <t>SP discount</t>
  </si>
  <si>
    <t>months</t>
  </si>
  <si>
    <t>SP break-even point</t>
  </si>
  <si>
    <t>Month</t>
  </si>
  <si>
    <t>Savings</t>
  </si>
  <si>
    <t>PAYG Cost</t>
  </si>
  <si>
    <t>SP commitment</t>
  </si>
  <si>
    <t>History only (6 months)</t>
  </si>
  <si>
    <t>Forecast only (6 months)</t>
  </si>
  <si>
    <t>AllUp Cost</t>
  </si>
  <si>
    <t/>
  </si>
  <si>
    <t>Drag the slider to adjust commitment</t>
  </si>
  <si>
    <t>RI/SP Cost</t>
  </si>
  <si>
    <t>Split</t>
  </si>
  <si>
    <t>New SP Cost</t>
  </si>
  <si>
    <t>New Split</t>
  </si>
  <si>
    <t>Before</t>
  </si>
  <si>
    <t>After</t>
  </si>
  <si>
    <t>Currency</t>
  </si>
  <si>
    <t>MeterCategory</t>
  </si>
  <si>
    <t>MeterSubCategory</t>
  </si>
  <si>
    <t>Virtual Machines</t>
  </si>
  <si>
    <t>RI1Y</t>
  </si>
  <si>
    <t>RI3Y</t>
  </si>
  <si>
    <t>SP1Y</t>
  </si>
  <si>
    <t>SP3Y</t>
  </si>
  <si>
    <t>Dv3/DSv3 Series</t>
  </si>
  <si>
    <t>Ev3/ESv3 Series</t>
  </si>
  <si>
    <t>Dv2/DSv2 Series</t>
  </si>
  <si>
    <t>NCasv3 T4 Series</t>
  </si>
  <si>
    <t>Dadsv5 Series</t>
  </si>
  <si>
    <t>Ddsv5 Series</t>
  </si>
  <si>
    <t>BS Series</t>
  </si>
  <si>
    <t>Dsv5 Series Windows</t>
  </si>
  <si>
    <t>FSv2 Series</t>
  </si>
  <si>
    <t>F/FS Series</t>
  </si>
  <si>
    <t>Dav4/Dasv4 Series</t>
  </si>
  <si>
    <t>Dsv5 Series</t>
  </si>
  <si>
    <t>Dasv5 Series</t>
  </si>
  <si>
    <t>Edv4 Series</t>
  </si>
  <si>
    <t>Ddsv4 Series</t>
  </si>
  <si>
    <t>Eadsv5 Series</t>
  </si>
  <si>
    <t>HCS Series</t>
  </si>
  <si>
    <t>Dsv4 Series</t>
  </si>
  <si>
    <t>Av2 Series</t>
  </si>
  <si>
    <t>Dv3/DSv3 Series Windows</t>
  </si>
  <si>
    <t>Dadsv5 Series Windows</t>
  </si>
  <si>
    <t>Ev3/ESv3 Series Windows</t>
  </si>
  <si>
    <t>G/GS Series</t>
  </si>
  <si>
    <t>DSv2 Series VM</t>
  </si>
  <si>
    <t>D/DS Series</t>
  </si>
  <si>
    <t>Ddv4 Series Windows</t>
  </si>
  <si>
    <t>Dv4 Series</t>
  </si>
  <si>
    <t>Bsv2 Series Windows</t>
  </si>
  <si>
    <t>Dv2/DSv2 Series Windows</t>
  </si>
  <si>
    <t>DCsv3 Series Linux</t>
  </si>
  <si>
    <t>Dav4 Series VM</t>
  </si>
  <si>
    <t>Edsv5 Series Windows</t>
  </si>
  <si>
    <t>Edsv4 Series</t>
  </si>
  <si>
    <t>LS Series</t>
  </si>
  <si>
    <t>DCdsv3 Series Windows</t>
  </si>
  <si>
    <t>LSv2 Series</t>
  </si>
  <si>
    <t>Dv5 Series</t>
  </si>
  <si>
    <t>Edsv5 Series</t>
  </si>
  <si>
    <t>Basv2 Series</t>
  </si>
  <si>
    <t>Ddsv5 Series Windows</t>
  </si>
  <si>
    <t>Edsv4 Series VM</t>
  </si>
  <si>
    <t>Basv2 Series Windows</t>
  </si>
  <si>
    <t>Dadsv5 Series VM</t>
  </si>
  <si>
    <t>NCSv3 Series</t>
  </si>
  <si>
    <t>Dldsv5 Series Linux</t>
  </si>
  <si>
    <t>Av2 Series Windows</t>
  </si>
  <si>
    <t>NVasv4 Series</t>
  </si>
  <si>
    <t>Dasv4 Series VM</t>
  </si>
  <si>
    <t>Dv2 Series VM</t>
  </si>
  <si>
    <t>HBSv2 Series VM</t>
  </si>
  <si>
    <t>Bsv2 Series</t>
  </si>
  <si>
    <t>Eadsv5 Series Windows</t>
  </si>
  <si>
    <t>Ebdsv5 Series Windows</t>
  </si>
  <si>
    <t>Ebdsv5 Series</t>
  </si>
  <si>
    <t>FSv2 Series Windows</t>
  </si>
  <si>
    <t>DSv3 Series VM</t>
  </si>
  <si>
    <t>Easv5 Series Windows</t>
  </si>
  <si>
    <t>Esv4 Series Windows</t>
  </si>
  <si>
    <t>Dav4/Dasv4 Series Windows</t>
  </si>
  <si>
    <t>MS Series</t>
  </si>
  <si>
    <t>BS Series Windows</t>
  </si>
  <si>
    <t>Esv5 Series</t>
  </si>
  <si>
    <t>Edv5 Series</t>
  </si>
  <si>
    <t>Bsv2 Series VM</t>
  </si>
  <si>
    <t>Dlsv5 Series Linux</t>
  </si>
  <si>
    <t>Easv5 Series</t>
  </si>
  <si>
    <t>Eav4/Easv4 Series</t>
  </si>
  <si>
    <t>Lsv3 Series</t>
  </si>
  <si>
    <t>MSv2 Series</t>
  </si>
  <si>
    <t>Esv4 Series</t>
  </si>
  <si>
    <t>Total</t>
  </si>
  <si>
    <t>Mdsv2 Series</t>
  </si>
  <si>
    <t>ListPrice</t>
  </si>
  <si>
    <t>Slider max</t>
  </si>
  <si>
    <t>How much should I invest in Azure Savings Plan for Compute?</t>
  </si>
  <si>
    <t>1. How much am I spending today on eligible services?</t>
  </si>
  <si>
    <t>50% - 60% Reservations</t>
  </si>
  <si>
    <t>20% - 30% Savings Plan</t>
  </si>
  <si>
    <t>10% - 20% PAYG</t>
  </si>
  <si>
    <t>More flexibility</t>
  </si>
  <si>
    <t>More discount</t>
  </si>
  <si>
    <t>I need to know:</t>
  </si>
  <si>
    <t>2. Do I expect this pattern to continue?</t>
  </si>
  <si>
    <t>5. What is my exit strategy if I no longer need the savings plan?</t>
  </si>
  <si>
    <t>4. What services am I using today? (discounts vary)</t>
  </si>
  <si>
    <t>Customer PAYG discount</t>
  </si>
  <si>
    <t>Dasv5 Series Windows</t>
  </si>
  <si>
    <t>Lasv3 Series Linux</t>
  </si>
  <si>
    <t>(Multiple Items)</t>
  </si>
  <si>
    <t>3. What is my preferred commitment level versus PAYG margin? See here ====&gt;</t>
  </si>
  <si>
    <t>Aggressive strategy</t>
  </si>
  <si>
    <t>70% Reservations</t>
  </si>
  <si>
    <t>20% Savings Plan</t>
  </si>
  <si>
    <t>10% PAYG</t>
  </si>
  <si>
    <t>Low-maintenance strategy</t>
  </si>
  <si>
    <t>Starter strategy</t>
  </si>
  <si>
    <t>10% - 20% Reservations</t>
  </si>
  <si>
    <t>60% - 70% Savings Plan</t>
  </si>
  <si>
    <t>What are the offered discounts on VM SKUs?</t>
  </si>
  <si>
    <t>% through EA or MCA agreement, also known as ACD or Azure Consumption Discount</t>
  </si>
  <si>
    <t>Parameters specific to the customer</t>
  </si>
  <si>
    <t>Customer name</t>
  </si>
  <si>
    <t>Customer RI discount, if any</t>
  </si>
  <si>
    <t>Customer SP discount, if any</t>
  </si>
  <si>
    <t>Pricing currency</t>
  </si>
  <si>
    <t>For customers with a Microsoft Customer Agreement, pricing currency is always USD</t>
  </si>
  <si>
    <t>% Extra discount on savings plans, if any</t>
  </si>
  <si>
    <t>% Extra discounts on reservations, if any</t>
  </si>
  <si>
    <t>List discounts</t>
  </si>
  <si>
    <t>History</t>
  </si>
  <si>
    <t>Forecast</t>
  </si>
  <si>
    <r>
      <rPr>
        <b/>
        <u/>
        <sz val="11"/>
        <color theme="1"/>
        <rFont val="Aptos Narrow"/>
        <family val="2"/>
        <scheme val="minor"/>
      </rPr>
      <t>Note:</t>
    </r>
    <r>
      <rPr>
        <b/>
        <sz val="11"/>
        <color theme="1"/>
        <rFont val="Aptos Narrow"/>
        <family val="2"/>
        <scheme val="minor"/>
      </rPr>
      <t xml:space="preserve"> These discounts should be the ones that were active during the last 6 months, in order to give a true picture of the historical spend</t>
    </r>
  </si>
  <si>
    <t>Contoso</t>
  </si>
  <si>
    <t>OnDemand</t>
  </si>
  <si>
    <t>Reservation</t>
  </si>
  <si>
    <t>SavingsPlan</t>
  </si>
  <si>
    <t>BillingMonth</t>
  </si>
  <si>
    <t>PreTaxCost</t>
  </si>
  <si>
    <t>USD</t>
  </si>
  <si>
    <t>Ddv4 Series</t>
  </si>
  <si>
    <t>NCSv3 Series Windows</t>
  </si>
  <si>
    <t>Laosv4 Series</t>
  </si>
  <si>
    <t>PricingModel</t>
  </si>
  <si>
    <t>Row Labels</t>
  </si>
  <si>
    <t>Grand Total</t>
  </si>
  <si>
    <t>Sum of PreTaxCost</t>
  </si>
  <si>
    <t>Pivot 1: PAYG Spend</t>
  </si>
  <si>
    <t>Pivot 2: Commitment Spend</t>
  </si>
  <si>
    <t>RI1YPrice</t>
  </si>
  <si>
    <t>RI3YPrice</t>
  </si>
  <si>
    <t>SP1YPrice</t>
  </si>
  <si>
    <t>SP3YPrice</t>
  </si>
  <si>
    <t>Summary</t>
  </si>
  <si>
    <t>What we would pay with RI1Y</t>
  </si>
  <si>
    <t>What we would pay with RI3Y</t>
  </si>
  <si>
    <t>What we would pay with SP1Y</t>
  </si>
  <si>
    <t>What we would pay with SP3Y</t>
  </si>
  <si>
    <t>For information only, not used in this calculator</t>
  </si>
  <si>
    <t>Discounts can vary slightly between regions. These are taken using West Europe as a typical region.</t>
  </si>
  <si>
    <t>How to use this calculator</t>
  </si>
  <si>
    <t>Introduction</t>
  </si>
  <si>
    <t>Datasets</t>
  </si>
  <si>
    <t>1. Last 6 months' Azure spend on virtual machines, grouped by pricing model (PAYG, Reservations, and Savings Plans)</t>
  </si>
  <si>
    <t>Get-SpendByPricingModel.ps1</t>
  </si>
  <si>
    <t>Get-SpendByVMFamily.ps1</t>
  </si>
  <si>
    <t>Instructions for use</t>
  </si>
  <si>
    <t>Data collection script directory</t>
  </si>
  <si>
    <t>PAYG discount (ACD)</t>
  </si>
  <si>
    <t>Collector script</t>
  </si>
  <si>
    <t>CSV location</t>
  </si>
  <si>
    <t>DataCollection\SpendByPricingModel.csv</t>
  </si>
  <si>
    <t>DataCollection\SpendByVMFamily.csv</t>
  </si>
  <si>
    <t>2. Check that two CSV files with data have been created in folder DataCollection</t>
  </si>
  <si>
    <t>2. Last month's Azure PAYG spend on virtual machines, grouped by meter subcategory (which corresponds to VM family)</t>
  </si>
  <si>
    <t>3. In tab Parameters, enter the appropriate currency and any applicable discounts. Provide the full path to the directory containing the two CSV files.</t>
  </si>
  <si>
    <t>4. Click menu Data and select Queries and Connections. This window should appear as a pane on the right of the screen.</t>
  </si>
  <si>
    <t>5. Navigate to tab Data - SpendByPricingModel and click the refresh button next to the query with this name, in the right-hand pane. If the query runs successfully and finds the CSV file, the contents will be loaded into this tab.</t>
  </si>
  <si>
    <t>6. Navigate to tab Data - SpendByVMFamily and click the refresh button next to the query with this name, in the right-hand pane. If the query runs successfully and finds the CSV file, the contents will be loaded into this tab.</t>
  </si>
  <si>
    <t>7. Once both tabs are populated, move on to the DiscountCalculator tab and refresh the query with the same name. This query calculates the potential savings for each VM family by using reservations of savings plan.</t>
  </si>
  <si>
    <t>Calculated</t>
  </si>
  <si>
    <t>This data can be collected from the Azure public portal. Eventual customer-specific discounts on reservations or savings plans are added later.</t>
  </si>
  <si>
    <t>8. Navigate to tab Pivots and refresh both pivot tables via menu PivotTable Analyze =&gt; Refresh All</t>
  </si>
  <si>
    <t>Estimated monthly growth</t>
  </si>
  <si>
    <t>Estimated growth of the workload per month</t>
  </si>
  <si>
    <t>This Excel calculator is designed to help Azure customers calculate an appropriate amount of Azure Savings Plan for Compute to buy, based on their historical consumption.
This file is part of a package together with PowerShell scripts that perform the data collection.
Before using this tool, make sure the two CSV output files are present and make a note of their location.</t>
  </si>
  <si>
    <t>leading to an overall discount of</t>
  </si>
  <si>
    <t>1. Make sure that all tabs are showing data and that the queries have run successfully.</t>
  </si>
  <si>
    <t>2. Select the term of your savings plan, which will fetch the calculated overall discounts.</t>
  </si>
  <si>
    <t>3. Adjust the slider to model the purchase of different quantities of savings plan.</t>
  </si>
  <si>
    <t>4. If needed, adjust the Slider maximum value to be higher or lower. When the slider is in the middle you should have an even split of blue and green on the graph.</t>
  </si>
  <si>
    <t>1. Execute the two PowerShell scripts above.</t>
  </si>
  <si>
    <t>9. Navigate to tab Savings Plan and start modeling!</t>
  </si>
  <si>
    <t xml:space="preserve">    Important: If any of the last four columns are blank, it is usually due to missing discount data in the Discounts tab. Use the Azure Price Calculator to find the discounts for that family and enter them in a new row at the bottom of the table. Refresh the query and repeat until all rows have discount information.</t>
  </si>
  <si>
    <t>Version History</t>
  </si>
  <si>
    <t>Date</t>
  </si>
  <si>
    <t>Name</t>
  </si>
  <si>
    <t>Email</t>
  </si>
  <si>
    <t>Comment</t>
  </si>
  <si>
    <t>Version</t>
  </si>
  <si>
    <t>Donovan Hughes</t>
  </si>
  <si>
    <t>dohughes@microsoft.com</t>
  </si>
  <si>
    <t>Written to collect data via script and import via Power Query</t>
  </si>
  <si>
    <t>Savings plan term</t>
  </si>
  <si>
    <t>C:\Users\dohughes\OneDrive - Microsoft\Documents\GitHub\azure\projects\SavingsPlanCalculator\DataCollection\Sample</t>
  </si>
  <si>
    <t>RI1YDisc</t>
  </si>
  <si>
    <t>RI3YDisc</t>
  </si>
  <si>
    <t>SP1YDisc</t>
  </si>
  <si>
    <t>SP3YDisc</t>
  </si>
  <si>
    <t>DCadsv5-series Linux</t>
  </si>
  <si>
    <t>DCasv5-series Linux</t>
  </si>
  <si>
    <t>DCdsv3 Series Linux</t>
  </si>
  <si>
    <t>ECadsv5-series Linux</t>
  </si>
  <si>
    <t>ECasv5-series Linux</t>
  </si>
  <si>
    <t>NCads A100 v4 Series Linux</t>
  </si>
  <si>
    <t>Bpsv2 Series</t>
  </si>
  <si>
    <t>Dadsv6 Series</t>
  </si>
  <si>
    <t>Dadsv7 Series</t>
  </si>
  <si>
    <t>Daldsv6 Series</t>
  </si>
  <si>
    <t>Daldsv7 Series</t>
  </si>
  <si>
    <t>Dalsv6 Series</t>
  </si>
  <si>
    <t>Dalsv7 Series</t>
  </si>
  <si>
    <t>Dasv6 Series</t>
  </si>
  <si>
    <t>Dasv7 Series</t>
  </si>
  <si>
    <t>Dav4 Series</t>
  </si>
  <si>
    <t>DCadsv6 series</t>
  </si>
  <si>
    <t>DCasv6 series</t>
  </si>
  <si>
    <t>DCedsv6 Series</t>
  </si>
  <si>
    <t>DCesv6 Series</t>
  </si>
  <si>
    <t>DCSv2 Series</t>
  </si>
  <si>
    <t>Ddsv6 Series</t>
  </si>
  <si>
    <t>Ddsv7-series Linux</t>
  </si>
  <si>
    <t>Ddv5 Series</t>
  </si>
  <si>
    <t>Dldsv5 Series</t>
  </si>
  <si>
    <t>Dldsv6 Series</t>
  </si>
  <si>
    <t>Dldsv7-series Linux</t>
  </si>
  <si>
    <t>Dlsv5 Series</t>
  </si>
  <si>
    <t>Dlsv6 Series</t>
  </si>
  <si>
    <t>Dlsv7-series Linux</t>
  </si>
  <si>
    <t>Dndsv6 Series Linux</t>
  </si>
  <si>
    <t>Dnldsv6 Series Linux</t>
  </si>
  <si>
    <t>Dnlsv6 Series Linux</t>
  </si>
  <si>
    <t>Dnsv6 Series Linux</t>
  </si>
  <si>
    <t>Dpdsv5 Series</t>
  </si>
  <si>
    <t>Dpdsv6 Series</t>
  </si>
  <si>
    <t>Dpldsv5 Series</t>
  </si>
  <si>
    <t>Dpldsv6 Series</t>
  </si>
  <si>
    <t>Dplsv5 Series</t>
  </si>
  <si>
    <t>Dplsv6 Series</t>
  </si>
  <si>
    <t>Dpsv5 Series</t>
  </si>
  <si>
    <t>Dpsv6 Series</t>
  </si>
  <si>
    <t>Dsv6 Series</t>
  </si>
  <si>
    <t>Dsv7-series Linux</t>
  </si>
  <si>
    <t>Dv2 Series</t>
  </si>
  <si>
    <t>Dv3 Series</t>
  </si>
  <si>
    <t>Eadsv6 Series</t>
  </si>
  <si>
    <t>Eadsv7 Series</t>
  </si>
  <si>
    <t>Easv4 Series</t>
  </si>
  <si>
    <t>Easv6 Series</t>
  </si>
  <si>
    <t>Easv7 Series</t>
  </si>
  <si>
    <t>Eav4 Series</t>
  </si>
  <si>
    <t>Ebdsv6-Series Linux</t>
  </si>
  <si>
    <t>Ebsv5 Series</t>
  </si>
  <si>
    <t>Ebsv6-Series Linux</t>
  </si>
  <si>
    <t>ECadsv6 series Linux</t>
  </si>
  <si>
    <t>ECasv6 series</t>
  </si>
  <si>
    <t>ECedsv6 Series</t>
  </si>
  <si>
    <t>ECesv6 Series</t>
  </si>
  <si>
    <t>Edsv6 Series</t>
  </si>
  <si>
    <t>Edsv7-series Linux</t>
  </si>
  <si>
    <t>Endsv6 Series Linux</t>
  </si>
  <si>
    <t>Ensv6 Series Linux</t>
  </si>
  <si>
    <t>Epdsv5 Series</t>
  </si>
  <si>
    <t>Epsv5 Series</t>
  </si>
  <si>
    <t>Epsv6 Series</t>
  </si>
  <si>
    <t>Esv6 Series</t>
  </si>
  <si>
    <t>Esv7-series Linux</t>
  </si>
  <si>
    <t>Ev3 Series</t>
  </si>
  <si>
    <t>Ev4 Series</t>
  </si>
  <si>
    <t>Ev5 Series</t>
  </si>
  <si>
    <t>F Series</t>
  </si>
  <si>
    <t>Fadsv7 Series</t>
  </si>
  <si>
    <t>Faldsv7 Series</t>
  </si>
  <si>
    <t>Falsv6 Series</t>
  </si>
  <si>
    <t>Falsv7 Series</t>
  </si>
  <si>
    <t>Famdsv7 Series</t>
  </si>
  <si>
    <t>Famsv6 Series</t>
  </si>
  <si>
    <t>Famsv7 Series</t>
  </si>
  <si>
    <t>Fasv6 Series</t>
  </si>
  <si>
    <t>Fasv7 Series</t>
  </si>
  <si>
    <t>FX Series</t>
  </si>
  <si>
    <t>FXmdsv2 Series</t>
  </si>
  <si>
    <t>FXmsv2 Series</t>
  </si>
  <si>
    <t>G Series</t>
  </si>
  <si>
    <t>H Series</t>
  </si>
  <si>
    <t>HBrsv3 Series</t>
  </si>
  <si>
    <t>HBrsv4 series</t>
  </si>
  <si>
    <t>HBS Series</t>
  </si>
  <si>
    <t>HBSv2 Series</t>
  </si>
  <si>
    <t>HXrs Series</t>
  </si>
  <si>
    <t>Lasv4 Series</t>
  </si>
  <si>
    <t>Lsv4 Series</t>
  </si>
  <si>
    <t>Mbdsv3 Series</t>
  </si>
  <si>
    <t>Mbsv3 Series</t>
  </si>
  <si>
    <t>Mdsv3 High Memory Series Linux</t>
  </si>
  <si>
    <t>Mdsv3 Medium Memory Series Linux</t>
  </si>
  <si>
    <t>Mdsv3 Very High Memory Series Linux</t>
  </si>
  <si>
    <t>Msv3 High Memory Series Linux</t>
  </si>
  <si>
    <t>Msv3 Medium Memory Series Linux</t>
  </si>
  <si>
    <t>NCadsA10v4 Series</t>
  </si>
  <si>
    <t>NCadsH100v5 Series</t>
  </si>
  <si>
    <t>NCasT4 v3 Series</t>
  </si>
  <si>
    <t>NCCadsv5 Srs</t>
  </si>
  <si>
    <t>NCdsxlRTX6kv6</t>
  </si>
  <si>
    <t>NCldsxlRTX6kv6</t>
  </si>
  <si>
    <t>NDamsr A100 v4 Series Linux</t>
  </si>
  <si>
    <t>NDasr A100 v4 Series</t>
  </si>
  <si>
    <t>NDrSv2 Series</t>
  </si>
  <si>
    <t>NDsfH100v5 Series</t>
  </si>
  <si>
    <t>NDsH100v5 Series</t>
  </si>
  <si>
    <t>NDsr H100 v5 Series</t>
  </si>
  <si>
    <t>NGadsV620v1 Series</t>
  </si>
  <si>
    <t>NMadsMA35D Series</t>
  </si>
  <si>
    <t>NP Series</t>
  </si>
  <si>
    <t>NVadsA10v5 Series</t>
  </si>
  <si>
    <t>NVadsV710v5 Series</t>
  </si>
  <si>
    <t>NVSv3 Series</t>
  </si>
  <si>
    <t>What we paid in PAYG VM costs</t>
  </si>
  <si>
    <t>Used in the Savings Plan tab when choosing 12 month term</t>
  </si>
  <si>
    <t>Used in the Savings Plan tab when choosing 36 month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</si>
</sst>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22"/>
      <color theme="1"/>
      <name val="Aptos Narrow"/>
      <family val="2"/>
      <scheme val="minor"/>
    </font>
    <font>
      <sz val="22"/>
      <color theme="1"/>
      <name val="Aptos Narrow"/>
      <family val="2"/>
      <scheme val="minor"/>
    </font>
    <font>
      <sz val="8"/>
      <name val="Aptos Narrow"/>
      <family val="2"/>
      <scheme val="minor"/>
    </font>
    <font>
      <sz val="11"/>
      <name val="Aptos Narrow"/>
      <family val="2"/>
      <scheme val="minor"/>
    </font>
    <font>
      <b/>
      <u/>
      <sz val="11"/>
      <color theme="1"/>
      <name val="Aptos Narrow"/>
      <family val="2"/>
      <scheme val="minor"/>
    </font>
    <font>
      <u/>
      <sz val="11"/>
      <color theme="10"/>
      <name val="Aptos Narrow"/>
      <family val="2"/>
      <scheme val="minor"/>
    </font>
    <font>
      <b/>
      <u/>
      <sz val="11"/>
      <color theme="10"/>
      <name val="Aptos Narrow"/>
      <family val="2"/>
      <scheme val="minor"/>
    </font>
    <font>
      <b/>
      <u/>
      <sz val="16"/>
      <color theme="1"/>
      <name val="Aptos Narrow"/>
      <family val="2"/>
      <scheme val="minor"/>
    </font>
    <font>
      <sz val="16"/>
      <color theme="1"/>
      <name val="Aptos Narrow"/>
      <family val="2"/>
      <scheme val="minor"/>
    </font>
    <font>
      <u/>
      <sz val="11"/>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
      <patternFill patternType="solid">
        <fgColor theme="3" tint="0.499984740745262"/>
        <bgColor indexed="64"/>
      </patternFill>
    </fill>
    <fill>
      <patternFill patternType="solid">
        <fgColor theme="6"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4" fillId="0" borderId="0" applyNumberFormat="0" applyFill="0" applyBorder="0" applyAlignment="0" applyProtection="0"/>
    <xf numFmtId="43" fontId="1" fillId="0" borderId="0" applyFont="0" applyFill="0" applyBorder="0" applyAlignment="0" applyProtection="0"/>
  </cellStyleXfs>
  <cellXfs count="79">
    <xf numFmtId="0" fontId="0" fillId="0" borderId="0" xfId="0"/>
    <xf numFmtId="1" fontId="0" fillId="0" borderId="0" xfId="0" applyNumberFormat="1"/>
    <xf numFmtId="0" fontId="19" fillId="0" borderId="0" xfId="0" applyFont="1"/>
    <xf numFmtId="0" fontId="20" fillId="0" borderId="0" xfId="0" applyFont="1"/>
    <xf numFmtId="0" fontId="16" fillId="0" borderId="10" xfId="0" applyFont="1" applyBorder="1" applyAlignment="1">
      <alignment horizontal="right"/>
    </xf>
    <xf numFmtId="0" fontId="0" fillId="0" borderId="10" xfId="0" applyBorder="1"/>
    <xf numFmtId="1" fontId="0" fillId="0" borderId="10" xfId="0" applyNumberFormat="1" applyBorder="1"/>
    <xf numFmtId="0" fontId="16" fillId="0" borderId="10" xfId="0" applyFont="1" applyBorder="1"/>
    <xf numFmtId="0" fontId="16" fillId="0" borderId="0" xfId="0" applyFont="1"/>
    <xf numFmtId="14" fontId="0" fillId="0" borderId="10" xfId="0" applyNumberFormat="1" applyBorder="1" applyAlignment="1">
      <alignment horizontal="left"/>
    </xf>
    <xf numFmtId="3" fontId="0" fillId="0" borderId="10" xfId="0" applyNumberFormat="1" applyBorder="1"/>
    <xf numFmtId="3" fontId="0" fillId="34" borderId="10" xfId="0" applyNumberFormat="1" applyFill="1" applyBorder="1"/>
    <xf numFmtId="3" fontId="16" fillId="0" borderId="10" xfId="0" applyNumberFormat="1" applyFont="1" applyBorder="1"/>
    <xf numFmtId="3" fontId="0" fillId="0" borderId="10" xfId="0" applyNumberFormat="1" applyBorder="1" applyAlignment="1">
      <alignment horizontal="right"/>
    </xf>
    <xf numFmtId="3" fontId="0" fillId="34" borderId="10" xfId="0" applyNumberFormat="1" applyFill="1" applyBorder="1" applyAlignment="1">
      <alignment horizontal="right"/>
    </xf>
    <xf numFmtId="0" fontId="0" fillId="0" borderId="0" xfId="0" quotePrefix="1"/>
    <xf numFmtId="0" fontId="16" fillId="0" borderId="0" xfId="0" applyFont="1" applyAlignment="1">
      <alignment horizontal="center"/>
    </xf>
    <xf numFmtId="0" fontId="16" fillId="0" borderId="10" xfId="0" applyFont="1" applyBorder="1" applyAlignment="1">
      <alignment horizontal="center"/>
    </xf>
    <xf numFmtId="9" fontId="0" fillId="0" borderId="10" xfId="0" applyNumberFormat="1" applyBorder="1" applyAlignment="1">
      <alignment horizontal="center"/>
    </xf>
    <xf numFmtId="3" fontId="0" fillId="0" borderId="10" xfId="0" applyNumberFormat="1" applyBorder="1" applyAlignment="1">
      <alignment horizontal="center"/>
    </xf>
    <xf numFmtId="3" fontId="16" fillId="0" borderId="10" xfId="0" applyNumberFormat="1" applyFont="1" applyBorder="1" applyAlignment="1">
      <alignment horizontal="center"/>
    </xf>
    <xf numFmtId="9" fontId="16" fillId="0" borderId="10" xfId="0" applyNumberFormat="1" applyFont="1" applyBorder="1" applyAlignment="1">
      <alignment horizontal="center"/>
    </xf>
    <xf numFmtId="0" fontId="18" fillId="0" borderId="0" xfId="42"/>
    <xf numFmtId="0" fontId="0" fillId="0" borderId="0" xfId="0" pivotButton="1"/>
    <xf numFmtId="0" fontId="18" fillId="0" borderId="0" xfId="0" applyFont="1"/>
    <xf numFmtId="2" fontId="0" fillId="0" borderId="10" xfId="0" applyNumberFormat="1" applyBorder="1"/>
    <xf numFmtId="0" fontId="22" fillId="35" borderId="10" xfId="0" applyFont="1" applyFill="1" applyBorder="1"/>
    <xf numFmtId="0" fontId="0" fillId="36" borderId="10" xfId="0" applyFill="1" applyBorder="1"/>
    <xf numFmtId="0" fontId="0" fillId="34" borderId="10" xfId="0" applyFill="1" applyBorder="1"/>
    <xf numFmtId="0" fontId="23" fillId="0" borderId="0" xfId="0" applyFont="1"/>
    <xf numFmtId="0" fontId="16" fillId="0" borderId="10" xfId="0" applyFont="1" applyBorder="1" applyAlignment="1">
      <alignment horizontal="center" vertical="center"/>
    </xf>
    <xf numFmtId="9" fontId="0" fillId="34" borderId="10" xfId="0" applyNumberFormat="1" applyFill="1" applyBorder="1" applyAlignment="1">
      <alignment horizontal="center"/>
    </xf>
    <xf numFmtId="3" fontId="0" fillId="34" borderId="10" xfId="0" applyNumberFormat="1" applyFill="1" applyBorder="1" applyAlignment="1">
      <alignment horizontal="center"/>
    </xf>
    <xf numFmtId="1" fontId="0" fillId="33" borderId="10" xfId="0" applyNumberFormat="1" applyFill="1" applyBorder="1" applyProtection="1">
      <protection locked="0"/>
    </xf>
    <xf numFmtId="9" fontId="24" fillId="0" borderId="10" xfId="43" applyNumberFormat="1" applyFill="1" applyBorder="1"/>
    <xf numFmtId="9" fontId="24" fillId="0" borderId="10" xfId="43" applyNumberFormat="1" applyFill="1" applyBorder="1" applyAlignment="1">
      <alignment horizontal="right"/>
    </xf>
    <xf numFmtId="0" fontId="25" fillId="0" borderId="10" xfId="43" applyFont="1" applyBorder="1" applyAlignment="1">
      <alignment horizontal="right"/>
    </xf>
    <xf numFmtId="0" fontId="26" fillId="0" borderId="0" xfId="0" applyFont="1"/>
    <xf numFmtId="0" fontId="27" fillId="0" borderId="0" xfId="0" applyFont="1"/>
    <xf numFmtId="0" fontId="17" fillId="0" borderId="0" xfId="0" applyFont="1" applyProtection="1">
      <protection locked="0"/>
    </xf>
    <xf numFmtId="14" fontId="0" fillId="34" borderId="10" xfId="0" applyNumberFormat="1" applyFill="1" applyBorder="1" applyAlignment="1">
      <alignment horizontal="left"/>
    </xf>
    <xf numFmtId="9" fontId="0" fillId="0" borderId="0" xfId="42" applyNumberFormat="1" applyFont="1"/>
    <xf numFmtId="9" fontId="0" fillId="0" borderId="0" xfId="0" applyNumberFormat="1"/>
    <xf numFmtId="14" fontId="0" fillId="0" borderId="0" xfId="0" applyNumberFormat="1"/>
    <xf numFmtId="3" fontId="0" fillId="0" borderId="0" xfId="0" applyNumberFormat="1"/>
    <xf numFmtId="22" fontId="0" fillId="0" borderId="0" xfId="0" applyNumberFormat="1" applyAlignment="1">
      <alignment horizontal="left"/>
    </xf>
    <xf numFmtId="14" fontId="0" fillId="0" borderId="0" xfId="0" applyNumberFormat="1" applyAlignment="1">
      <alignment horizontal="left"/>
    </xf>
    <xf numFmtId="2" fontId="0" fillId="0" borderId="0" xfId="0" applyNumberFormat="1"/>
    <xf numFmtId="2" fontId="0" fillId="0" borderId="0" xfId="44" applyNumberFormat="1" applyFont="1"/>
    <xf numFmtId="10" fontId="0" fillId="0" borderId="0" xfId="0" applyNumberFormat="1"/>
    <xf numFmtId="0" fontId="0" fillId="0" borderId="0" xfId="0" applyAlignment="1">
      <alignment vertical="top" wrapText="1"/>
    </xf>
    <xf numFmtId="0" fontId="23" fillId="0" borderId="0" xfId="0" applyFont="1" applyAlignment="1">
      <alignment vertical="top"/>
    </xf>
    <xf numFmtId="0" fontId="0" fillId="0" borderId="0" xfId="0" applyAlignment="1">
      <alignment vertical="top"/>
    </xf>
    <xf numFmtId="0" fontId="16" fillId="0" borderId="11" xfId="0" applyFont="1" applyBorder="1"/>
    <xf numFmtId="0" fontId="0" fillId="0" borderId="11" xfId="0" applyBorder="1"/>
    <xf numFmtId="0" fontId="28" fillId="0" borderId="0" xfId="0" applyFont="1"/>
    <xf numFmtId="9" fontId="0" fillId="0" borderId="10" xfId="0" applyNumberFormat="1" applyBorder="1"/>
    <xf numFmtId="0" fontId="0" fillId="0" borderId="15" xfId="0" applyBorder="1"/>
    <xf numFmtId="0" fontId="24" fillId="0" borderId="0" xfId="43"/>
    <xf numFmtId="0" fontId="3" fillId="0" borderId="1" xfId="2"/>
    <xf numFmtId="165" fontId="0" fillId="0" borderId="0" xfId="0" applyNumberFormat="1"/>
    <xf numFmtId="0" fontId="0" fillId="33" borderId="10" xfId="0" applyFill="1" applyBorder="1" applyProtection="1">
      <protection locked="0"/>
    </xf>
    <xf numFmtId="164" fontId="0" fillId="33" borderId="10" xfId="0" applyNumberFormat="1" applyFill="1" applyBorder="1" applyProtection="1">
      <protection locked="0"/>
    </xf>
    <xf numFmtId="164" fontId="0" fillId="33" borderId="11" xfId="0" applyNumberFormat="1" applyFill="1" applyBorder="1" applyProtection="1">
      <protection locked="0"/>
    </xf>
    <xf numFmtId="164" fontId="0" fillId="33" borderId="14" xfId="0" applyNumberFormat="1" applyFill="1" applyBorder="1" applyProtection="1">
      <protection locked="0"/>
    </xf>
    <xf numFmtId="0" fontId="0" fillId="0" borderId="10" xfId="0" applyBorder="1" applyAlignment="1">
      <alignment horizontal="center"/>
    </xf>
    <xf numFmtId="0" fontId="23" fillId="0" borderId="0" xfId="0" applyFont="1" applyAlignment="1">
      <alignment horizontal="center"/>
    </xf>
    <xf numFmtId="0" fontId="16" fillId="0" borderId="0" xfId="0" applyFont="1" applyAlignment="1">
      <alignment horizontal="center" wrapText="1"/>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0" fillId="0" borderId="0" xfId="0" applyAlignment="1">
      <alignment horizontal="left" vertical="top" wrapText="1"/>
    </xf>
    <xf numFmtId="0" fontId="0" fillId="33" borderId="14" xfId="0" applyFill="1" applyBorder="1" applyAlignment="1" applyProtection="1">
      <alignment horizontal="left" vertical="top"/>
      <protection locked="0"/>
    </xf>
    <xf numFmtId="0" fontId="0" fillId="33" borderId="15" xfId="0" applyFill="1" applyBorder="1" applyAlignment="1" applyProtection="1">
      <alignment horizontal="left" vertical="top"/>
      <protection locked="0"/>
    </xf>
    <xf numFmtId="0" fontId="16" fillId="0" borderId="10" xfId="0" applyFont="1" applyBorder="1" applyAlignment="1">
      <alignment horizontal="center"/>
    </xf>
    <xf numFmtId="0" fontId="0" fillId="0" borderId="10" xfId="0" applyBorder="1" applyAlignment="1">
      <alignment horizontal="left"/>
    </xf>
    <xf numFmtId="0" fontId="0" fillId="0" borderId="10" xfId="0" applyBorder="1" applyAlignment="1">
      <alignment horizontal="center" vertical="center" textRotation="90"/>
    </xf>
    <xf numFmtId="0" fontId="0" fillId="34" borderId="10" xfId="0" applyFill="1" applyBorder="1" applyAlignment="1">
      <alignment horizontal="center" vertical="center" textRotation="90"/>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52EE43E8-D852-412E-8E3E-7ACDEBDE191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3" formatCode="0%"/>
    </dxf>
    <dxf>
      <numFmt numFmtId="13" formatCode="0%"/>
    </dxf>
    <dxf>
      <numFmt numFmtId="13" formatCode="0%"/>
    </dxf>
    <dxf>
      <numFmt numFmtId="13" formatCode="0%"/>
    </dxf>
    <dxf>
      <numFmt numFmtId="2" formatCode="0.00"/>
    </dxf>
    <dxf>
      <numFmt numFmtId="19" formatCode="yyyy/mm/dd"/>
    </dxf>
    <dxf>
      <numFmt numFmtId="3" formatCode="#,##0"/>
    </dxf>
    <dxf>
      <numFmt numFmtId="19" formatCode="yyyy/mm/dd"/>
    </dxf>
    <dxf>
      <numFmt numFmtId="3" formatCode="#,##0"/>
    </dxf>
    <dxf>
      <numFmt numFmtId="19" formatCode="yyyy/mm/dd"/>
    </dxf>
    <dxf>
      <numFmt numFmtId="2" formatCode="0.00"/>
    </dxf>
    <dxf>
      <numFmt numFmtId="0" formatCode="General"/>
    </dxf>
    <dxf>
      <numFmt numFmtId="2" formatCode="0.00"/>
    </dxf>
    <dxf>
      <numFmt numFmtId="0" formatCode="General"/>
    </dxf>
    <dxf>
      <numFmt numFmtId="2" formatCode="0.00"/>
    </dxf>
    <dxf>
      <numFmt numFmtId="0" formatCode="General"/>
    </dxf>
    <dxf>
      <numFmt numFmtId="2" formatCode="0.00"/>
    </dxf>
    <dxf>
      <numFmt numFmtId="0" formatCode="General"/>
    </dxf>
    <dxf>
      <numFmt numFmtId="2" formatCode="0.00"/>
    </dxf>
    <dxf>
      <numFmt numFmtId="0" formatCode="General"/>
    </dxf>
    <dxf>
      <numFmt numFmtId="13" formatCode="0%"/>
    </dxf>
    <dxf>
      <numFmt numFmtId="13" formatCode="0%"/>
    </dxf>
    <dxf>
      <numFmt numFmtId="13" formatCode="0%"/>
    </dxf>
    <dxf>
      <numFmt numFmtId="13"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19" formatCode="yyyy/mm/dd"/>
    </dxf>
    <dxf>
      <numFmt numFmtId="19" formatCode="yyyy/mm/dd"/>
    </dxf>
    <dxf>
      <numFmt numFmtId="165" formatCode="0.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How</a:t>
            </a:r>
            <a:r>
              <a:rPr lang="en-GB" baseline="0"/>
              <a:t> much Savings Plan should I buy?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areaChart>
        <c:grouping val="stacked"/>
        <c:varyColors val="0"/>
        <c:ser>
          <c:idx val="2"/>
          <c:order val="0"/>
          <c:tx>
            <c:strRef>
              <c:f>SavingsPlan!$I$17</c:f>
              <c:strCache>
                <c:ptCount val="1"/>
                <c:pt idx="0">
                  <c:v>PAYG Cost</c:v>
                </c:pt>
              </c:strCache>
            </c:strRef>
          </c:tx>
          <c:spPr>
            <a:solidFill>
              <a:srgbClr val="92D050"/>
            </a:solidFill>
            <a:ln>
              <a:noFill/>
            </a:ln>
            <a:effectLst/>
          </c:spPr>
          <c:cat>
            <c:numRef>
              <c:f>SavingsPlan!$B$18:$B$29</c:f>
              <c:numCache>
                <c:formatCode>m/d/yyyy</c:formatCode>
                <c:ptCount val="12"/>
                <c:pt idx="0">
                  <c:v>45992</c:v>
                </c:pt>
                <c:pt idx="1">
                  <c:v>46023</c:v>
                </c:pt>
                <c:pt idx="2">
                  <c:v>46054</c:v>
                </c:pt>
                <c:pt idx="3">
                  <c:v>46082</c:v>
                </c:pt>
                <c:pt idx="4">
                  <c:v>46113</c:v>
                </c:pt>
                <c:pt idx="5">
                  <c:v>46143</c:v>
                </c:pt>
                <c:pt idx="6">
                  <c:v>46174</c:v>
                </c:pt>
                <c:pt idx="7">
                  <c:v>46204</c:v>
                </c:pt>
                <c:pt idx="8">
                  <c:v>46235</c:v>
                </c:pt>
                <c:pt idx="9">
                  <c:v>46266</c:v>
                </c:pt>
                <c:pt idx="10">
                  <c:v>46296</c:v>
                </c:pt>
                <c:pt idx="11">
                  <c:v>46327</c:v>
                </c:pt>
              </c:numCache>
            </c:numRef>
          </c:cat>
          <c:val>
            <c:numRef>
              <c:f>SavingsPlan!$I$18:$I$29</c:f>
              <c:numCache>
                <c:formatCode>#,##0</c:formatCode>
                <c:ptCount val="12"/>
                <c:pt idx="0">
                  <c:v>10450.49552304198</c:v>
                </c:pt>
                <c:pt idx="1">
                  <c:v>10546.276155769679</c:v>
                </c:pt>
                <c:pt idx="2">
                  <c:v>8238.2990245963811</c:v>
                </c:pt>
                <c:pt idx="3">
                  <c:v>10022.993703807781</c:v>
                </c:pt>
                <c:pt idx="4">
                  <c:v>9292.2013004486798</c:v>
                </c:pt>
                <c:pt idx="5">
                  <c:v>10346.529987778682</c:v>
                </c:pt>
                <c:pt idx="6">
                  <c:v>10773.566808981657</c:v>
                </c:pt>
                <c:pt idx="7">
                  <c:v>11209.144366608693</c:v>
                </c:pt>
                <c:pt idx="8">
                  <c:v>11653.433475388269</c:v>
                </c:pt>
                <c:pt idx="9">
                  <c:v>12106.608366343437</c:v>
                </c:pt>
                <c:pt idx="10">
                  <c:v>12568.846755117705</c:v>
                </c:pt>
                <c:pt idx="11">
                  <c:v>13040.329911667461</c:v>
                </c:pt>
              </c:numCache>
            </c:numRef>
          </c:val>
          <c:extLst xmlns:c15="http://schemas.microsoft.com/office/drawing/2012/chart">
            <c:ext xmlns:c16="http://schemas.microsoft.com/office/drawing/2014/chart" uri="{C3380CC4-5D6E-409C-BE32-E72D297353CC}">
              <c16:uniqueId val="{00000003-AF68-444D-9B87-2BD56B3AD601}"/>
            </c:ext>
          </c:extLst>
        </c:ser>
        <c:ser>
          <c:idx val="0"/>
          <c:order val="2"/>
          <c:tx>
            <c:strRef>
              <c:f>SavingsPlan!$J$17</c:f>
              <c:strCache>
                <c:ptCount val="1"/>
                <c:pt idx="0">
                  <c:v>RI/SP Cost</c:v>
                </c:pt>
              </c:strCache>
            </c:strRef>
          </c:tx>
          <c:spPr>
            <a:solidFill>
              <a:schemeClr val="tx2">
                <a:lumMod val="50000"/>
                <a:lumOff val="50000"/>
              </a:schemeClr>
            </a:solidFill>
            <a:ln w="25400">
              <a:noFill/>
            </a:ln>
            <a:effectLst/>
          </c:spPr>
          <c:cat>
            <c:numRef>
              <c:f>SavingsPlan!$B$18:$B$29</c:f>
              <c:numCache>
                <c:formatCode>m/d/yyyy</c:formatCode>
                <c:ptCount val="12"/>
                <c:pt idx="0">
                  <c:v>45992</c:v>
                </c:pt>
                <c:pt idx="1">
                  <c:v>46023</c:v>
                </c:pt>
                <c:pt idx="2">
                  <c:v>46054</c:v>
                </c:pt>
                <c:pt idx="3">
                  <c:v>46082</c:v>
                </c:pt>
                <c:pt idx="4">
                  <c:v>46113</c:v>
                </c:pt>
                <c:pt idx="5">
                  <c:v>46143</c:v>
                </c:pt>
                <c:pt idx="6">
                  <c:v>46174</c:v>
                </c:pt>
                <c:pt idx="7">
                  <c:v>46204</c:v>
                </c:pt>
                <c:pt idx="8">
                  <c:v>46235</c:v>
                </c:pt>
                <c:pt idx="9">
                  <c:v>46266</c:v>
                </c:pt>
                <c:pt idx="10">
                  <c:v>46296</c:v>
                </c:pt>
                <c:pt idx="11">
                  <c:v>46327</c:v>
                </c:pt>
              </c:numCache>
            </c:numRef>
          </c:cat>
          <c:val>
            <c:numRef>
              <c:f>SavingsPlan!$J$18:$J$29</c:f>
              <c:numCache>
                <c:formatCode>#,##0</c:formatCode>
                <c:ptCount val="12"/>
                <c:pt idx="0">
                  <c:v>9462.479631958855</c:v>
                </c:pt>
                <c:pt idx="1">
                  <c:v>9437.4837931950351</c:v>
                </c:pt>
                <c:pt idx="2">
                  <c:v>9346.9336869496219</c:v>
                </c:pt>
                <c:pt idx="3">
                  <c:v>9406.1509654592155</c:v>
                </c:pt>
                <c:pt idx="4">
                  <c:v>9376.9620868476231</c:v>
                </c:pt>
                <c:pt idx="5">
                  <c:v>9411.4504923227778</c:v>
                </c:pt>
                <c:pt idx="6">
                  <c:v>9418.6395021692333</c:v>
                </c:pt>
                <c:pt idx="7">
                  <c:v>9425.9722922126166</c:v>
                </c:pt>
                <c:pt idx="8">
                  <c:v>9433.4517380568686</c:v>
                </c:pt>
                <c:pt idx="9">
                  <c:v>9441.0807728180043</c:v>
                </c:pt>
                <c:pt idx="10">
                  <c:v>9448.8623882743632</c:v>
                </c:pt>
                <c:pt idx="11">
                  <c:v>9456.7996360398502</c:v>
                </c:pt>
              </c:numCache>
            </c:numRef>
          </c:val>
          <c:extLst>
            <c:ext xmlns:c16="http://schemas.microsoft.com/office/drawing/2014/chart" uri="{C3380CC4-5D6E-409C-BE32-E72D297353CC}">
              <c16:uniqueId val="{00000006-AF68-444D-9B87-2BD56B3AD601}"/>
            </c:ext>
          </c:extLst>
        </c:ser>
        <c:dLbls>
          <c:showLegendKey val="0"/>
          <c:showVal val="0"/>
          <c:showCatName val="0"/>
          <c:showSerName val="0"/>
          <c:showPercent val="0"/>
          <c:showBubbleSize val="0"/>
        </c:dLbls>
        <c:axId val="1818827408"/>
        <c:axId val="1817240064"/>
        <c:extLst>
          <c:ext xmlns:c15="http://schemas.microsoft.com/office/drawing/2012/chart" uri="{02D57815-91ED-43cb-92C2-25804820EDAC}">
            <c15:filteredAreaSeries>
              <c15:ser>
                <c:idx val="3"/>
                <c:order val="1"/>
                <c:tx>
                  <c:strRef>
                    <c:extLst>
                      <c:ext uri="{02D57815-91ED-43cb-92C2-25804820EDAC}">
                        <c15:formulaRef>
                          <c15:sqref>SavingsPlan!$H$17</c15:sqref>
                        </c15:formulaRef>
                      </c:ext>
                    </c:extLst>
                    <c:strCache>
                      <c:ptCount val="1"/>
                      <c:pt idx="0">
                        <c:v>AllUp Cost</c:v>
                      </c:pt>
                    </c:strCache>
                  </c:strRef>
                </c:tx>
                <c:spPr>
                  <a:solidFill>
                    <a:schemeClr val="accent4"/>
                  </a:solidFill>
                  <a:ln>
                    <a:noFill/>
                  </a:ln>
                  <a:effectLst/>
                </c:spPr>
                <c:cat>
                  <c:numRef>
                    <c:extLst>
                      <c:ext uri="{02D57815-91ED-43cb-92C2-25804820EDAC}">
                        <c15:formulaRef>
                          <c15:sqref>SavingsPlan!$B$18:$B$29</c15:sqref>
                        </c15:formulaRef>
                      </c:ext>
                    </c:extLst>
                    <c:numCache>
                      <c:formatCode>m/d/yyyy</c:formatCode>
                      <c:ptCount val="12"/>
                      <c:pt idx="0">
                        <c:v>45992</c:v>
                      </c:pt>
                      <c:pt idx="1">
                        <c:v>46023</c:v>
                      </c:pt>
                      <c:pt idx="2">
                        <c:v>46054</c:v>
                      </c:pt>
                      <c:pt idx="3">
                        <c:v>46082</c:v>
                      </c:pt>
                      <c:pt idx="4">
                        <c:v>46113</c:v>
                      </c:pt>
                      <c:pt idx="5">
                        <c:v>46143</c:v>
                      </c:pt>
                      <c:pt idx="6">
                        <c:v>46174</c:v>
                      </c:pt>
                      <c:pt idx="7">
                        <c:v>46204</c:v>
                      </c:pt>
                      <c:pt idx="8">
                        <c:v>46235</c:v>
                      </c:pt>
                      <c:pt idx="9">
                        <c:v>46266</c:v>
                      </c:pt>
                      <c:pt idx="10">
                        <c:v>46296</c:v>
                      </c:pt>
                      <c:pt idx="11">
                        <c:v>46327</c:v>
                      </c:pt>
                    </c:numCache>
                  </c:numRef>
                </c:cat>
                <c:val>
                  <c:numRef>
                    <c:extLst>
                      <c:ext uri="{02D57815-91ED-43cb-92C2-25804820EDAC}">
                        <c15:formulaRef>
                          <c15:sqref>SavingsPlan!$H$18:$H$29</c15:sqref>
                        </c15:formulaRef>
                      </c:ext>
                    </c:extLst>
                    <c:numCache>
                      <c:formatCode>#,##0</c:formatCode>
                      <c:ptCount val="12"/>
                      <c:pt idx="0">
                        <c:v>19912.975155000837</c:v>
                      </c:pt>
                      <c:pt idx="1">
                        <c:v>19983.759948964715</c:v>
                      </c:pt>
                      <c:pt idx="2">
                        <c:v>17585.232711546003</c:v>
                      </c:pt>
                      <c:pt idx="3">
                        <c:v>19429.144669266996</c:v>
                      </c:pt>
                      <c:pt idx="4">
                        <c:v>18669.163387296303</c:v>
                      </c:pt>
                      <c:pt idx="5">
                        <c:v>19757.980480101462</c:v>
                      </c:pt>
                      <c:pt idx="6">
                        <c:v>20192.206311150891</c:v>
                      </c:pt>
                      <c:pt idx="7">
                        <c:v>20635.116658821309</c:v>
                      </c:pt>
                      <c:pt idx="8">
                        <c:v>21086.885213445137</c:v>
                      </c:pt>
                      <c:pt idx="9">
                        <c:v>21547.689139161441</c:v>
                      </c:pt>
                      <c:pt idx="10">
                        <c:v>22017.709143392069</c:v>
                      </c:pt>
                      <c:pt idx="11">
                        <c:v>22497.129547707311</c:v>
                      </c:pt>
                    </c:numCache>
                  </c:numRef>
                </c:val>
                <c:extLst>
                  <c:ext xmlns:c16="http://schemas.microsoft.com/office/drawing/2014/chart" uri="{C3380CC4-5D6E-409C-BE32-E72D297353CC}">
                    <c16:uniqueId val="{00000000-AF68-444D-9B87-2BD56B3AD601}"/>
                  </c:ext>
                </c:extLst>
              </c15:ser>
            </c15:filteredAreaSeries>
          </c:ext>
        </c:extLst>
      </c:areaChart>
      <c:dateAx>
        <c:axId val="181882740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40064"/>
        <c:crosses val="autoZero"/>
        <c:auto val="1"/>
        <c:lblOffset val="100"/>
        <c:baseTimeUnit val="months"/>
      </c:dateAx>
      <c:valAx>
        <c:axId val="1817240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274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H$10" horiz="1" max="100" noThreeD="1" page="0" val="3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171450</xdr:colOff>
      <xdr:row>4</xdr:row>
      <xdr:rowOff>0</xdr:rowOff>
    </xdr:from>
    <xdr:to>
      <xdr:col>9</xdr:col>
      <xdr:colOff>171450</xdr:colOff>
      <xdr:row>14</xdr:row>
      <xdr:rowOff>19050</xdr:rowOff>
    </xdr:to>
    <xdr:cxnSp macro="">
      <xdr:nvCxnSpPr>
        <xdr:cNvPr id="3" name="Straight Arrow Connector 2">
          <a:extLst>
            <a:ext uri="{FF2B5EF4-FFF2-40B4-BE49-F238E27FC236}">
              <a16:creationId xmlns:a16="http://schemas.microsoft.com/office/drawing/2014/main" id="{1195C452-F1B2-6585-82B4-7078C25D8BD9}"/>
            </a:ext>
          </a:extLst>
        </xdr:cNvPr>
        <xdr:cNvCxnSpPr/>
      </xdr:nvCxnSpPr>
      <xdr:spPr>
        <a:xfrm>
          <a:off x="5781675" y="933450"/>
          <a:ext cx="0" cy="1924050"/>
        </a:xfrm>
        <a:prstGeom prst="straightConnector1">
          <a:avLst/>
        </a:prstGeom>
        <a:ln w="34925">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171450</xdr:colOff>
      <xdr:row>4</xdr:row>
      <xdr:rowOff>0</xdr:rowOff>
    </xdr:from>
    <xdr:to>
      <xdr:col>14</xdr:col>
      <xdr:colOff>171450</xdr:colOff>
      <xdr:row>14</xdr:row>
      <xdr:rowOff>19050</xdr:rowOff>
    </xdr:to>
    <xdr:cxnSp macro="">
      <xdr:nvCxnSpPr>
        <xdr:cNvPr id="2" name="Straight Arrow Connector 1">
          <a:extLst>
            <a:ext uri="{FF2B5EF4-FFF2-40B4-BE49-F238E27FC236}">
              <a16:creationId xmlns:a16="http://schemas.microsoft.com/office/drawing/2014/main" id="{D4300E46-5909-4784-A3B0-C00EA4E58F85}"/>
            </a:ext>
          </a:extLst>
        </xdr:cNvPr>
        <xdr:cNvCxnSpPr/>
      </xdr:nvCxnSpPr>
      <xdr:spPr>
        <a:xfrm>
          <a:off x="5769219" y="930519"/>
          <a:ext cx="0" cy="1924050"/>
        </a:xfrm>
        <a:prstGeom prst="straightConnector1">
          <a:avLst/>
        </a:prstGeom>
        <a:ln w="34925">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171450</xdr:colOff>
      <xdr:row>18</xdr:row>
      <xdr:rowOff>0</xdr:rowOff>
    </xdr:from>
    <xdr:to>
      <xdr:col>9</xdr:col>
      <xdr:colOff>171450</xdr:colOff>
      <xdr:row>28</xdr:row>
      <xdr:rowOff>19050</xdr:rowOff>
    </xdr:to>
    <xdr:cxnSp macro="">
      <xdr:nvCxnSpPr>
        <xdr:cNvPr id="4" name="Straight Arrow Connector 3">
          <a:extLst>
            <a:ext uri="{FF2B5EF4-FFF2-40B4-BE49-F238E27FC236}">
              <a16:creationId xmlns:a16="http://schemas.microsoft.com/office/drawing/2014/main" id="{789E12EB-7AE4-417A-A3D6-1417DC8B814E}"/>
            </a:ext>
          </a:extLst>
        </xdr:cNvPr>
        <xdr:cNvCxnSpPr/>
      </xdr:nvCxnSpPr>
      <xdr:spPr>
        <a:xfrm>
          <a:off x="9740412" y="930519"/>
          <a:ext cx="0" cy="1924050"/>
        </a:xfrm>
        <a:prstGeom prst="straightConnector1">
          <a:avLst/>
        </a:prstGeom>
        <a:ln w="34925">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171450</xdr:colOff>
      <xdr:row>18</xdr:row>
      <xdr:rowOff>0</xdr:rowOff>
    </xdr:from>
    <xdr:to>
      <xdr:col>9</xdr:col>
      <xdr:colOff>171450</xdr:colOff>
      <xdr:row>28</xdr:row>
      <xdr:rowOff>19050</xdr:rowOff>
    </xdr:to>
    <xdr:cxnSp macro="">
      <xdr:nvCxnSpPr>
        <xdr:cNvPr id="5" name="Straight Arrow Connector 4">
          <a:extLst>
            <a:ext uri="{FF2B5EF4-FFF2-40B4-BE49-F238E27FC236}">
              <a16:creationId xmlns:a16="http://schemas.microsoft.com/office/drawing/2014/main" id="{7A2B4922-C46B-46E1-BB43-005FCFE8CF03}"/>
            </a:ext>
          </a:extLst>
        </xdr:cNvPr>
        <xdr:cNvCxnSpPr/>
      </xdr:nvCxnSpPr>
      <xdr:spPr>
        <a:xfrm>
          <a:off x="5769219" y="930519"/>
          <a:ext cx="0" cy="1924050"/>
        </a:xfrm>
        <a:prstGeom prst="straightConnector1">
          <a:avLst/>
        </a:prstGeom>
        <a:ln w="34925">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252413</xdr:colOff>
      <xdr:row>0</xdr:row>
      <xdr:rowOff>139577</xdr:rowOff>
    </xdr:from>
    <xdr:to>
      <xdr:col>24</xdr:col>
      <xdr:colOff>533400</xdr:colOff>
      <xdr:row>30</xdr:row>
      <xdr:rowOff>189525</xdr:rowOff>
    </xdr:to>
    <xdr:graphicFrame macro="">
      <xdr:nvGraphicFramePr>
        <xdr:cNvPr id="2" name="Chart 1">
          <a:extLst>
            <a:ext uri="{FF2B5EF4-FFF2-40B4-BE49-F238E27FC236}">
              <a16:creationId xmlns:a16="http://schemas.microsoft.com/office/drawing/2014/main" id="{1C6932E8-4A36-4A81-AB62-1F6D6D0CB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209550</xdr:colOff>
          <xdr:row>11</xdr:row>
          <xdr:rowOff>57150</xdr:rowOff>
        </xdr:from>
        <xdr:to>
          <xdr:col>8</xdr:col>
          <xdr:colOff>752475</xdr:colOff>
          <xdr:row>12</xdr:row>
          <xdr:rowOff>133350</xdr:rowOff>
        </xdr:to>
        <xdr:sp macro="" textlink="">
          <xdr:nvSpPr>
            <xdr:cNvPr id="1040" name="Scroll Bar 16" hidden="1">
              <a:extLst>
                <a:ext uri="{63B3BB69-23CF-44E3-9099-C40C66FF867C}">
                  <a14:compatExt spid="_x0000_s1040"/>
                </a:ext>
                <a:ext uri="{FF2B5EF4-FFF2-40B4-BE49-F238E27FC236}">
                  <a16:creationId xmlns:a16="http://schemas.microsoft.com/office/drawing/2014/main" id="{00000000-0008-0000-0900-00001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18</xdr:col>
      <xdr:colOff>608579</xdr:colOff>
      <xdr:row>2</xdr:row>
      <xdr:rowOff>63500</xdr:rowOff>
    </xdr:from>
    <xdr:to>
      <xdr:col>18</xdr:col>
      <xdr:colOff>608579</xdr:colOff>
      <xdr:row>25</xdr:row>
      <xdr:rowOff>79375</xdr:rowOff>
    </xdr:to>
    <xdr:cxnSp macro="">
      <xdr:nvCxnSpPr>
        <xdr:cNvPr id="4" name="Straight Connector 3">
          <a:extLst>
            <a:ext uri="{FF2B5EF4-FFF2-40B4-BE49-F238E27FC236}">
              <a16:creationId xmlns:a16="http://schemas.microsoft.com/office/drawing/2014/main" id="{0191C4F6-A1BE-5D07-95C4-0FA2E0B69EB6}"/>
            </a:ext>
          </a:extLst>
        </xdr:cNvPr>
        <xdr:cNvCxnSpPr/>
      </xdr:nvCxnSpPr>
      <xdr:spPr>
        <a:xfrm>
          <a:off x="13999142" y="619125"/>
          <a:ext cx="0" cy="4397375"/>
        </a:xfrm>
        <a:prstGeom prst="line">
          <a:avLst/>
        </a:prstGeom>
        <a:ln w="38100">
          <a:solidFill>
            <a:srgbClr val="EE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504825</xdr:colOff>
      <xdr:row>2</xdr:row>
      <xdr:rowOff>152389</xdr:rowOff>
    </xdr:from>
    <xdr:to>
      <xdr:col>18</xdr:col>
      <xdr:colOff>476250</xdr:colOff>
      <xdr:row>4</xdr:row>
      <xdr:rowOff>114289</xdr:rowOff>
    </xdr:to>
    <xdr:sp macro="" textlink="">
      <xdr:nvSpPr>
        <xdr:cNvPr id="7" name="TextBox 6">
          <a:extLst>
            <a:ext uri="{FF2B5EF4-FFF2-40B4-BE49-F238E27FC236}">
              <a16:creationId xmlns:a16="http://schemas.microsoft.com/office/drawing/2014/main" id="{62B40F5C-68EB-5A9F-A6BB-567E27029450}"/>
            </a:ext>
          </a:extLst>
        </xdr:cNvPr>
        <xdr:cNvSpPr txBox="1"/>
      </xdr:nvSpPr>
      <xdr:spPr>
        <a:xfrm>
          <a:off x="12673013" y="708014"/>
          <a:ext cx="1193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400" b="1"/>
            <a:t>← Historical</a:t>
          </a:r>
        </a:p>
      </xdr:txBody>
    </xdr:sp>
    <xdr:clientData/>
  </xdr:twoCellAnchor>
  <xdr:twoCellAnchor>
    <xdr:from>
      <xdr:col>19</xdr:col>
      <xdr:colOff>123825</xdr:colOff>
      <xdr:row>2</xdr:row>
      <xdr:rowOff>152389</xdr:rowOff>
    </xdr:from>
    <xdr:to>
      <xdr:col>21</xdr:col>
      <xdr:colOff>95250</xdr:colOff>
      <xdr:row>4</xdr:row>
      <xdr:rowOff>114289</xdr:rowOff>
    </xdr:to>
    <xdr:sp macro="" textlink="">
      <xdr:nvSpPr>
        <xdr:cNvPr id="8" name="TextBox 7">
          <a:extLst>
            <a:ext uri="{FF2B5EF4-FFF2-40B4-BE49-F238E27FC236}">
              <a16:creationId xmlns:a16="http://schemas.microsoft.com/office/drawing/2014/main" id="{521EC838-FD24-4027-A4D8-EB184428F68B}"/>
            </a:ext>
          </a:extLst>
        </xdr:cNvPr>
        <xdr:cNvSpPr txBox="1"/>
      </xdr:nvSpPr>
      <xdr:spPr>
        <a:xfrm>
          <a:off x="14125575" y="708014"/>
          <a:ext cx="1193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t>Forecast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novan Hughes" refreshedDate="46180.645899537034" createdVersion="8" refreshedVersion="8" minRefreshableVersion="3" recordCount="18" xr:uid="{A25466F7-2B37-46AE-9EF6-0E85A785DBE8}">
  <cacheSource type="worksheet">
    <worksheetSource name="SpendByPricingModel"/>
  </cacheSource>
  <cacheFields count="7">
    <cacheField name="BillingMonth" numFmtId="14">
      <sharedItems containsSemiMixedTypes="0" containsNonDate="0" containsDate="1" containsString="0" minDate="2025-12-01T00:00:00" maxDate="2026-05-02T00:00:00" count="6">
        <d v="2025-12-01T00:00:00"/>
        <d v="2026-01-01T00:00:00"/>
        <d v="2026-02-01T00:00:00"/>
        <d v="2026-03-01T00:00:00"/>
        <d v="2026-04-01T00:00:00"/>
        <d v="2026-05-01T00:00:00"/>
      </sharedItems>
      <fieldGroup par="6"/>
    </cacheField>
    <cacheField name="PricingModel" numFmtId="0">
      <sharedItems count="4">
        <s v="OnDemand"/>
        <s v="Reservation"/>
        <s v="SavingsPlan"/>
        <s v="Spot" u="1"/>
      </sharedItems>
    </cacheField>
    <cacheField name="Currency" numFmtId="0">
      <sharedItems/>
    </cacheField>
    <cacheField name="PreTaxCost" numFmtId="0">
      <sharedItems containsSemiMixedTypes="0" containsString="0" containsNumber="1" minValue="134.962086847623" maxValue="21551.587228139699"/>
    </cacheField>
    <cacheField name="Months (BillingMonth)" numFmtId="0" databaseField="0">
      <fieldGroup base="0">
        <rangePr groupBy="months" startDate="2025-12-01T00:00:00" endDate="2026-05-02T00:00:00"/>
        <groupItems count="14">
          <s v="&lt;2025-12-01"/>
          <s v="Jan"/>
          <s v="Feb"/>
          <s v="Mar"/>
          <s v="Apr"/>
          <s v="May"/>
          <s v="Jun"/>
          <s v="Jul"/>
          <s v="Aug"/>
          <s v="Sept"/>
          <s v="Oct"/>
          <s v="Nov"/>
          <s v="Dec"/>
          <s v="&gt;2026-05-02"/>
        </groupItems>
      </fieldGroup>
    </cacheField>
    <cacheField name="Quarters (BillingMonth)" numFmtId="0" databaseField="0">
      <fieldGroup base="0">
        <rangePr groupBy="quarters" startDate="2025-12-01T00:00:00" endDate="2026-05-02T00:00:00"/>
        <groupItems count="6">
          <s v="&lt;2025-12-01"/>
          <s v="Qtr1"/>
          <s v="Qtr2"/>
          <s v="Qtr3"/>
          <s v="Qtr4"/>
          <s v="&gt;2026-05-02"/>
        </groupItems>
      </fieldGroup>
    </cacheField>
    <cacheField name="Years (BillingMonth)" numFmtId="0" databaseField="0">
      <fieldGroup base="0">
        <rangePr groupBy="years" startDate="2025-12-01T00:00:00" endDate="2026-05-02T00:00:00"/>
        <groupItems count="4">
          <s v="&lt;2025-12-01"/>
          <s v="2025"/>
          <s v="2026"/>
          <s v="&gt;2026-05-0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s v="USD"/>
    <n v="21455.806595411999"/>
  </r>
  <r>
    <x v="0"/>
    <x v="1"/>
    <s v="USD"/>
    <n v="160.47963195885501"/>
  </r>
  <r>
    <x v="0"/>
    <x v="2"/>
    <s v="USD"/>
    <n v="250"/>
  </r>
  <r>
    <x v="1"/>
    <x v="0"/>
    <s v="USD"/>
    <n v="21551.587228139699"/>
  </r>
  <r>
    <x v="1"/>
    <x v="1"/>
    <s v="USD"/>
    <n v="160.48379319503599"/>
  </r>
  <r>
    <x v="1"/>
    <x v="2"/>
    <s v="USD"/>
    <n v="225"/>
  </r>
  <r>
    <x v="2"/>
    <x v="0"/>
    <s v="USD"/>
    <n v="19243.6100969664"/>
  </r>
  <r>
    <x v="2"/>
    <x v="1"/>
    <s v="USD"/>
    <n v="144.93368694962101"/>
  </r>
  <r>
    <x v="2"/>
    <x v="2"/>
    <s v="USD"/>
    <n v="150"/>
  </r>
  <r>
    <x v="3"/>
    <x v="0"/>
    <s v="USD"/>
    <n v="21028.3047761778"/>
  </r>
  <r>
    <x v="3"/>
    <x v="1"/>
    <s v="USD"/>
    <n v="146.150965459215"/>
  </r>
  <r>
    <x v="3"/>
    <x v="2"/>
    <s v="USD"/>
    <n v="208"/>
  </r>
  <r>
    <x v="4"/>
    <x v="0"/>
    <s v="USD"/>
    <n v="20297.512372818699"/>
  </r>
  <r>
    <x v="4"/>
    <x v="1"/>
    <s v="USD"/>
    <n v="134.962086847623"/>
  </r>
  <r>
    <x v="4"/>
    <x v="2"/>
    <s v="USD"/>
    <n v="190"/>
  </r>
  <r>
    <x v="5"/>
    <x v="0"/>
    <s v="USD"/>
    <n v="21351.841060148701"/>
  </r>
  <r>
    <x v="5"/>
    <x v="1"/>
    <s v="USD"/>
    <n v="139.45049232277799"/>
  </r>
  <r>
    <x v="5"/>
    <x v="2"/>
    <s v="USD"/>
    <n v="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1B4D1-3E34-4B78-81F8-C36E0A5210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12" firstHeaderRow="1" firstDataRow="1" firstDataCol="1" rowPageCount="1" colPageCount="1"/>
  <pivotFields count="7">
    <pivotField axis="axisRow" numFmtId="22" showAll="0">
      <items count="7">
        <item x="0"/>
        <item x="1"/>
        <item x="2"/>
        <item x="3"/>
        <item x="4"/>
        <item x="5"/>
        <item t="default"/>
      </items>
    </pivotField>
    <pivotField axis="axisPage" multipleItemSelectionAllowed="1" showAll="0">
      <items count="5">
        <item h="1" x="0"/>
        <item x="1"/>
        <item x="2"/>
        <item h="1" m="1"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7">
    <i>
      <x/>
    </i>
    <i>
      <x v="1"/>
    </i>
    <i>
      <x v="2"/>
    </i>
    <i>
      <x v="3"/>
    </i>
    <i>
      <x v="4"/>
    </i>
    <i>
      <x v="5"/>
    </i>
    <i t="grand">
      <x/>
    </i>
  </rowItems>
  <colItems count="1">
    <i/>
  </colItems>
  <pageFields count="1">
    <pageField fld="1" hier="-1"/>
  </pageFields>
  <dataFields count="1">
    <dataField name="Sum of PreTaxCost" fld="3" baseField="0" baseItem="0" numFmtId="3"/>
  </dataFields>
  <formats count="2">
    <format dxfId="7">
      <pivotArea dataOnly="0" labelOnly="1" fieldPosition="0">
        <references count="1">
          <reference field="0" count="0"/>
        </references>
      </pivotArea>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D8FC60-D946-4416-A76E-FCF5A0DA99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2" firstHeaderRow="1" firstDataRow="1" firstDataCol="1" rowPageCount="1" colPageCount="1"/>
  <pivotFields count="7">
    <pivotField axis="axisRow" numFmtId="22" showAll="0">
      <items count="7">
        <item x="0"/>
        <item x="1"/>
        <item x="2"/>
        <item x="3"/>
        <item x="4"/>
        <item x="5"/>
        <item t="default"/>
      </items>
    </pivotField>
    <pivotField axis="axisPage" showAll="0">
      <items count="5">
        <item x="0"/>
        <item x="1"/>
        <item x="2"/>
        <item m="1"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7">
    <i>
      <x/>
    </i>
    <i>
      <x v="1"/>
    </i>
    <i>
      <x v="2"/>
    </i>
    <i>
      <x v="3"/>
    </i>
    <i>
      <x v="4"/>
    </i>
    <i>
      <x v="5"/>
    </i>
    <i t="grand">
      <x/>
    </i>
  </rowItems>
  <colItems count="1">
    <i/>
  </colItems>
  <pageFields count="1">
    <pageField fld="1" item="0" hier="-1"/>
  </pageFields>
  <dataFields count="1">
    <dataField name="Sum of PreTaxCost" fld="3" baseField="0" baseItem="0" numFmtId="3"/>
  </dataFields>
  <formats count="2">
    <format dxfId="9">
      <pivotArea dataOnly="0" labelOnly="1" fieldPosition="0">
        <references count="1">
          <reference field="0" count="0"/>
        </references>
      </pivotArea>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7" xr16:uid="{BD4151A0-6C03-443D-B2A7-08B05E4796EE}" autoFormatId="16" applyNumberFormats="0" applyBorderFormats="0" applyFontFormats="0" applyPatternFormats="0" applyAlignmentFormats="0" applyWidthHeightFormats="0">
  <queryTableRefresh nextId="5">
    <queryTableFields count="4">
      <queryTableField id="1" name="BillingMonth" tableColumnId="1"/>
      <queryTableField id="2" name="PricingModel" tableColumnId="2"/>
      <queryTableField id="3" name="Currency" tableColumnId="3"/>
      <queryTableField id="4" name="PreTaxCos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8" xr16:uid="{01469806-8C3B-407F-A07E-C38A1E59BBEC}" autoFormatId="16" applyNumberFormats="0" applyBorderFormats="0" applyFontFormats="0" applyPatternFormats="0" applyAlignmentFormats="0" applyWidthHeightFormats="0">
  <queryTableRefresh nextId="9">
    <queryTableFields count="5">
      <queryTableField id="1" name="BillingMonth" tableColumnId="1"/>
      <queryTableField id="2" name="MeterCategory" tableColumnId="2"/>
      <queryTableField id="3" name="MeterSubCategory" tableColumnId="3"/>
      <queryTableField id="4" name="Currency" tableColumnId="4"/>
      <queryTableField id="5" name="PreTaxCos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308F6F9-9024-47B0-AF8F-0394B3EBB34E}" autoFormatId="16" applyNumberFormats="0" applyBorderFormats="0" applyFontFormats="0" applyPatternFormats="0" applyAlignmentFormats="0" applyWidthHeightFormats="0">
  <queryTableRefresh nextId="16">
    <queryTableFields count="14">
      <queryTableField id="1" name="BillingMonth" tableColumnId="1"/>
      <queryTableField id="2" name="MeterCategory" tableColumnId="2"/>
      <queryTableField id="3" name="MeterSubCategory" tableColumnId="3"/>
      <queryTableField id="4" name="Currency" tableColumnId="4"/>
      <queryTableField id="5" name="PreTaxCost" tableColumnId="5"/>
      <queryTableField id="7" name="RI1YDISC" tableColumnId="7"/>
      <queryTableField id="8" name="RI3YDISC" tableColumnId="8"/>
      <queryTableField id="9" name="SP1YDISC" tableColumnId="9"/>
      <queryTableField id="10" name="SP3YDISC" tableColumnId="10"/>
      <queryTableField id="11" name="ListPrice" tableColumnId="11"/>
      <queryTableField id="12" name="RI1YPrice" tableColumnId="12"/>
      <queryTableField id="13" name="RI3YPrice" tableColumnId="13"/>
      <queryTableField id="14" name="SP1YPrice" tableColumnId="14"/>
      <queryTableField id="15" name="SP3YPrice" tableColumnId="1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6F6F97-99E5-4289-B33A-08C521AE2E36}" name="Table2" displayName="Table2" ref="A2:E3" totalsRowShown="0">
  <autoFilter ref="A2:E3" xr:uid="{626F6F97-99E5-4289-B33A-08C521AE2E36}"/>
  <tableColumns count="5">
    <tableColumn id="1" xr3:uid="{13765982-AB7E-47A0-AA05-840134E008C5}" name="Version" dataDxfId="37"/>
    <tableColumn id="2" xr3:uid="{31E53134-761F-4461-AD1F-13BD51630751}" name="Date" dataDxfId="36"/>
    <tableColumn id="3" xr3:uid="{8C1F5327-B05F-413C-B7FE-838B1B5C85A4}" name="Name"/>
    <tableColumn id="4" xr3:uid="{A1E57A68-4A84-4568-B631-C170E2231749}" name="Email" dataCellStyle="Hyperlink"/>
    <tableColumn id="5" xr3:uid="{DA904630-A8F3-4FEF-8A9B-553E8164BF91}" name="Com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479863-67CC-4A4B-B3E3-5A41AFBB6A31}" name="SpendByPricingModel" displayName="SpendByPricingModel" ref="A1:D19" tableType="queryTable" totalsRowShown="0">
  <autoFilter ref="A1:D19" xr:uid="{FA479863-67CC-4A4B-B3E3-5A41AFBB6A31}"/>
  <sortState xmlns:xlrd2="http://schemas.microsoft.com/office/spreadsheetml/2017/richdata2" ref="A2:D19">
    <sortCondition ref="A1:A19"/>
  </sortState>
  <tableColumns count="4">
    <tableColumn id="1" xr3:uid="{322D18B6-61D1-41A9-BFF6-1AA03D78CAB3}" uniqueName="1" name="BillingMonth" queryTableFieldId="1" dataDxfId="35"/>
    <tableColumn id="2" xr3:uid="{BE042AFC-12B1-4C5D-A921-27F95B5CA91F}" uniqueName="2" name="PricingModel" queryTableFieldId="2" dataDxfId="34"/>
    <tableColumn id="3" xr3:uid="{B89E0765-3881-43CC-A85A-38EFC15C586D}" uniqueName="3" name="Currency" queryTableFieldId="3" dataDxfId="33"/>
    <tableColumn id="4" xr3:uid="{C3D0442C-8F82-4720-BBD7-363E444F5C6F}" uniqueName="4" name="PreTaxCost"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86A467-E646-41C6-9A91-6868560DA231}" name="SpendByVMFamily" displayName="SpendByVMFamily" ref="A1:E13" tableType="queryTable" totalsRowShown="0">
  <autoFilter ref="A1:E13" xr:uid="{0386A467-E646-41C6-9A91-6868560DA231}"/>
  <tableColumns count="5">
    <tableColumn id="1" xr3:uid="{565E839D-C375-4D18-A4B5-2F97ADE9597B}" uniqueName="1" name="BillingMonth" queryTableFieldId="1" dataDxfId="32"/>
    <tableColumn id="2" xr3:uid="{A12D2A06-A4D6-4480-A28D-BB12418266C1}" uniqueName="2" name="MeterCategory" queryTableFieldId="2" dataDxfId="31"/>
    <tableColumn id="3" xr3:uid="{983C2EA5-40EB-42FE-B743-D90D8F1D9CBF}" uniqueName="3" name="MeterSubCategory" queryTableFieldId="3" dataDxfId="30"/>
    <tableColumn id="4" xr3:uid="{4902C9F3-9C24-477E-9C35-E9CA5AA0F653}" uniqueName="4" name="Currency" queryTableFieldId="4" dataDxfId="29"/>
    <tableColumn id="5" xr3:uid="{82589460-EBBF-49A8-B057-D96F57D148D4}" uniqueName="5" name="PreTaxCost" queryTableFieldId="5" dataDxf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69251B-91DC-4907-9094-8E4258333C6F}" name="DiscountCalculator" displayName="DiscountCalculator" ref="A1:N14" tableType="queryTable" totalsRowCount="1">
  <autoFilter ref="A1:N13" xr:uid="{C069251B-91DC-4907-9094-8E4258333C6F}"/>
  <tableColumns count="14">
    <tableColumn id="1" xr3:uid="{8DE9FAEB-4211-4A5E-A51E-0E1D9FA94787}" uniqueName="1" name="BillingMonth" totalsRowLabel="Total" queryTableFieldId="1" dataDxfId="5"/>
    <tableColumn id="2" xr3:uid="{6F97B41B-1874-451E-B4C9-24B4D6469C3D}" uniqueName="2" name="MeterCategory" queryTableFieldId="2" dataDxfId="27"/>
    <tableColumn id="3" xr3:uid="{42090B44-ACEA-4E91-A9D1-ACDF86E26872}" uniqueName="3" name="MeterSubCategory" queryTableFieldId="3" dataDxfId="26"/>
    <tableColumn id="4" xr3:uid="{BFB18FCA-B938-414E-9149-D458BC066D3E}" uniqueName="4" name="Currency" queryTableFieldId="4" dataDxfId="25"/>
    <tableColumn id="5" xr3:uid="{B69A7896-4E09-46DD-9F70-2600A57E0E60}" uniqueName="5" name="PreTaxCost" totalsRowFunction="sum" queryTableFieldId="5" dataDxfId="4" totalsRowDxfId="24"/>
    <tableColumn id="7" xr3:uid="{5C2EABDB-E21F-41B7-B4BA-78428F5F05A2}" uniqueName="7" name="RI1YDisc" queryTableFieldId="7" dataDxfId="3" totalsRowDxfId="23"/>
    <tableColumn id="8" xr3:uid="{06D900C4-8A9C-49D1-B25B-EF9B8A50D3DA}" uniqueName="8" name="RI3YDisc" queryTableFieldId="8" dataDxfId="2" totalsRowDxfId="22"/>
    <tableColumn id="9" xr3:uid="{2FB63F76-3AA5-418F-8274-87F8B4A9B193}" uniqueName="9" name="SP1YDisc" queryTableFieldId="9" dataDxfId="1" totalsRowDxfId="21"/>
    <tableColumn id="10" xr3:uid="{6FB3D34D-F986-41F4-B75F-F4E9CAE0EFA4}" uniqueName="10" name="SP3YDisc" queryTableFieldId="10" dataDxfId="0" totalsRowDxfId="20"/>
    <tableColumn id="11" xr3:uid="{EE07764B-8262-4206-8660-814A02293E58}" uniqueName="11" name="ListPrice" totalsRowFunction="sum" queryTableFieldId="11" dataDxfId="19" totalsRowDxfId="18"/>
    <tableColumn id="12" xr3:uid="{E949EDAB-AACE-4A28-AF24-CAFB670639FB}" uniqueName="12" name="RI1YPrice" totalsRowFunction="sum" queryTableFieldId="12" dataDxfId="17" totalsRowDxfId="16"/>
    <tableColumn id="13" xr3:uid="{032FCC19-BD21-4B31-B2D9-41D713066259}" uniqueName="13" name="RI3YPrice" totalsRowFunction="sum" queryTableFieldId="13" dataDxfId="15" totalsRowDxfId="14"/>
    <tableColumn id="14" xr3:uid="{7D0E6053-2823-4E3E-9371-C2EE0E490315}" uniqueName="14" name="SP1YPrice" totalsRowFunction="sum" queryTableFieldId="14" dataDxfId="13" totalsRowDxfId="12"/>
    <tableColumn id="15" xr3:uid="{8CE82D8D-6F11-45A3-9300-0A6495A5CE4F}" uniqueName="15" name="SP3YPrice" totalsRowFunction="sum" queryTableFieldId="15" dataDxfId="11" totalsRowDxf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6BDAF9-A4E7-4FB4-AEE3-8A95BF332BD5}" name="DiscountTable" displayName="DiscountTable" ref="A6:E201">
  <autoFilter ref="A6:E201" xr:uid="{A7BEF17B-0B17-4865-B1E8-552CDE70308C}"/>
  <sortState xmlns:xlrd2="http://schemas.microsoft.com/office/spreadsheetml/2017/richdata2" ref="A7:E201">
    <sortCondition ref="A6:A224"/>
  </sortState>
  <tableColumns count="5">
    <tableColumn id="1" xr3:uid="{E5CA1BA3-08DB-41D3-AA58-34AD96768703}" name="MeterSubCategory" totalsRowLabel="Total"/>
    <tableColumn id="7" xr3:uid="{DEE80CF4-31A5-4364-9C0B-A9F57654F12C}" name="RI1Y" dataDxfId="41"/>
    <tableColumn id="8" xr3:uid="{E49507DC-1C89-4F30-AEDD-81BEE1D79702}" name="RI3Y" dataDxfId="40"/>
    <tableColumn id="9" xr3:uid="{6BCC6E97-DE25-4379-AF80-4185F66E35C6}" name="SP1Y" dataDxfId="39"/>
    <tableColumn id="10" xr3:uid="{E75048B4-AB84-435D-B711-C520AE8176E5}" name="SP3Y"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dohughes@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F8154-C188-475A-977B-C08D2E4E3634}">
  <dimension ref="A1:E3"/>
  <sheetViews>
    <sheetView workbookViewId="0">
      <selection activeCell="A3" sqref="A3"/>
    </sheetView>
  </sheetViews>
  <sheetFormatPr defaultRowHeight="15" x14ac:dyDescent="0.25"/>
  <cols>
    <col min="1" max="1" width="11.28515625" customWidth="1"/>
    <col min="2" max="2" width="12.7109375" customWidth="1"/>
    <col min="3" max="3" width="24" customWidth="1"/>
    <col min="4" max="4" width="33.5703125" customWidth="1"/>
    <col min="5" max="5" width="80.85546875" customWidth="1"/>
  </cols>
  <sheetData>
    <row r="1" spans="1:5" ht="20.25" thickBot="1" x14ac:dyDescent="0.35">
      <c r="A1" s="59" t="s">
        <v>199</v>
      </c>
    </row>
    <row r="2" spans="1:5" ht="15.75" thickTop="1" x14ac:dyDescent="0.25">
      <c r="A2" s="60" t="s">
        <v>204</v>
      </c>
      <c r="B2" t="s">
        <v>200</v>
      </c>
      <c r="C2" t="s">
        <v>201</v>
      </c>
      <c r="D2" t="s">
        <v>202</v>
      </c>
      <c r="E2" t="s">
        <v>203</v>
      </c>
    </row>
    <row r="3" spans="1:5" x14ac:dyDescent="0.25">
      <c r="A3" s="60">
        <v>2</v>
      </c>
      <c r="B3" s="43">
        <v>46178</v>
      </c>
      <c r="C3" t="s">
        <v>205</v>
      </c>
      <c r="D3" s="58" t="s">
        <v>206</v>
      </c>
      <c r="E3" t="s">
        <v>207</v>
      </c>
    </row>
  </sheetData>
  <hyperlinks>
    <hyperlink ref="D3" r:id="rId1" xr:uid="{DF66A045-0E6E-4C55-B4F2-1F2CBD110FE4}"/>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3935-F335-42BF-815E-2CD07088BB7E}">
  <dimension ref="A1:Q28"/>
  <sheetViews>
    <sheetView zoomScale="130" zoomScaleNormal="130" workbookViewId="0">
      <selection activeCell="A9" sqref="A9"/>
    </sheetView>
  </sheetViews>
  <sheetFormatPr defaultRowHeight="15" x14ac:dyDescent="0.25"/>
  <cols>
    <col min="9" max="9" width="11" customWidth="1"/>
    <col min="10" max="10" width="5" customWidth="1"/>
    <col min="12" max="12" width="27.140625" customWidth="1"/>
    <col min="15" max="15" width="5" customWidth="1"/>
    <col min="17" max="17" width="22.42578125" bestFit="1" customWidth="1"/>
  </cols>
  <sheetData>
    <row r="1" spans="1:17" ht="28.5" x14ac:dyDescent="0.45">
      <c r="A1" s="2" t="s">
        <v>100</v>
      </c>
    </row>
    <row r="3" spans="1:17" x14ac:dyDescent="0.25">
      <c r="A3" s="29" t="s">
        <v>107</v>
      </c>
      <c r="I3" s="66" t="s">
        <v>121</v>
      </c>
      <c r="J3" s="66"/>
      <c r="K3" s="66"/>
      <c r="L3" s="66"/>
      <c r="N3" s="66" t="s">
        <v>116</v>
      </c>
      <c r="O3" s="66"/>
      <c r="P3" s="66"/>
      <c r="Q3" s="66"/>
    </row>
    <row r="4" spans="1:17" x14ac:dyDescent="0.25">
      <c r="A4" t="s">
        <v>101</v>
      </c>
    </row>
    <row r="5" spans="1:17" x14ac:dyDescent="0.25">
      <c r="A5" t="s">
        <v>108</v>
      </c>
      <c r="I5" s="67" t="s">
        <v>105</v>
      </c>
      <c r="K5" s="28"/>
      <c r="L5" s="69" t="s">
        <v>104</v>
      </c>
      <c r="N5" s="67" t="s">
        <v>105</v>
      </c>
      <c r="P5" s="28"/>
      <c r="Q5" s="30" t="s">
        <v>119</v>
      </c>
    </row>
    <row r="6" spans="1:17" x14ac:dyDescent="0.25">
      <c r="A6" t="s">
        <v>115</v>
      </c>
      <c r="I6" s="67"/>
      <c r="K6" s="28"/>
      <c r="L6" s="71"/>
      <c r="N6" s="67"/>
      <c r="P6" s="27"/>
      <c r="Q6" s="68" t="s">
        <v>118</v>
      </c>
    </row>
    <row r="7" spans="1:17" x14ac:dyDescent="0.25">
      <c r="A7" t="s">
        <v>110</v>
      </c>
      <c r="K7" s="27"/>
      <c r="L7" s="69" t="s">
        <v>103</v>
      </c>
      <c r="P7" s="27"/>
      <c r="Q7" s="68"/>
    </row>
    <row r="8" spans="1:17" x14ac:dyDescent="0.25">
      <c r="A8" t="s">
        <v>109</v>
      </c>
      <c r="K8" s="27"/>
      <c r="L8" s="70"/>
      <c r="P8" s="26"/>
      <c r="Q8" s="68" t="s">
        <v>117</v>
      </c>
    </row>
    <row r="9" spans="1:17" x14ac:dyDescent="0.25">
      <c r="K9" s="27"/>
      <c r="L9" s="71"/>
      <c r="P9" s="26"/>
      <c r="Q9" s="68"/>
    </row>
    <row r="10" spans="1:17" x14ac:dyDescent="0.25">
      <c r="K10" s="26"/>
      <c r="L10" s="69" t="s">
        <v>102</v>
      </c>
      <c r="P10" s="26"/>
      <c r="Q10" s="68"/>
    </row>
    <row r="11" spans="1:17" x14ac:dyDescent="0.25">
      <c r="K11" s="26"/>
      <c r="L11" s="70"/>
      <c r="P11" s="26"/>
      <c r="Q11" s="68"/>
    </row>
    <row r="12" spans="1:17" x14ac:dyDescent="0.25">
      <c r="K12" s="26"/>
      <c r="L12" s="70"/>
      <c r="P12" s="26"/>
      <c r="Q12" s="68"/>
    </row>
    <row r="13" spans="1:17" x14ac:dyDescent="0.25">
      <c r="I13" s="67" t="s">
        <v>106</v>
      </c>
      <c r="K13" s="26"/>
      <c r="L13" s="70"/>
      <c r="N13" s="67" t="s">
        <v>106</v>
      </c>
      <c r="P13" s="26"/>
      <c r="Q13" s="68"/>
    </row>
    <row r="14" spans="1:17" x14ac:dyDescent="0.25">
      <c r="I14" s="67"/>
      <c r="K14" s="26"/>
      <c r="L14" s="71"/>
      <c r="N14" s="67"/>
      <c r="P14" s="26"/>
      <c r="Q14" s="68"/>
    </row>
    <row r="17" spans="9:12" x14ac:dyDescent="0.25">
      <c r="I17" s="66" t="s">
        <v>120</v>
      </c>
      <c r="J17" s="66"/>
      <c r="K17" s="66"/>
      <c r="L17" s="66"/>
    </row>
    <row r="19" spans="9:12" ht="15" customHeight="1" x14ac:dyDescent="0.25">
      <c r="I19" s="67" t="s">
        <v>105</v>
      </c>
      <c r="K19" s="28"/>
      <c r="L19" s="68" t="s">
        <v>104</v>
      </c>
    </row>
    <row r="20" spans="9:12" x14ac:dyDescent="0.25">
      <c r="I20" s="67"/>
      <c r="K20" s="28"/>
      <c r="L20" s="68"/>
    </row>
    <row r="21" spans="9:12" x14ac:dyDescent="0.25">
      <c r="K21" s="27"/>
      <c r="L21" s="68" t="s">
        <v>123</v>
      </c>
    </row>
    <row r="22" spans="9:12" x14ac:dyDescent="0.25">
      <c r="K22" s="27"/>
      <c r="L22" s="68"/>
    </row>
    <row r="23" spans="9:12" x14ac:dyDescent="0.25">
      <c r="K23" s="27"/>
      <c r="L23" s="68"/>
    </row>
    <row r="24" spans="9:12" x14ac:dyDescent="0.25">
      <c r="K24" s="27"/>
      <c r="L24" s="68"/>
    </row>
    <row r="25" spans="9:12" x14ac:dyDescent="0.25">
      <c r="K25" s="27"/>
      <c r="L25" s="68"/>
    </row>
    <row r="26" spans="9:12" x14ac:dyDescent="0.25">
      <c r="K26" s="27"/>
      <c r="L26" s="68"/>
    </row>
    <row r="27" spans="9:12" ht="15" customHeight="1" x14ac:dyDescent="0.25">
      <c r="I27" s="67" t="s">
        <v>106</v>
      </c>
      <c r="K27" s="26"/>
      <c r="L27" s="68" t="s">
        <v>122</v>
      </c>
    </row>
    <row r="28" spans="9:12" x14ac:dyDescent="0.25">
      <c r="I28" s="67"/>
      <c r="K28" s="26"/>
      <c r="L28" s="68"/>
    </row>
  </sheetData>
  <mergeCells count="17">
    <mergeCell ref="I3:L3"/>
    <mergeCell ref="L10:L14"/>
    <mergeCell ref="L7:L9"/>
    <mergeCell ref="L5:L6"/>
    <mergeCell ref="I5:I6"/>
    <mergeCell ref="I13:I14"/>
    <mergeCell ref="N3:Q3"/>
    <mergeCell ref="N5:N6"/>
    <mergeCell ref="N13:N14"/>
    <mergeCell ref="Q6:Q7"/>
    <mergeCell ref="Q8:Q14"/>
    <mergeCell ref="I17:L17"/>
    <mergeCell ref="I19:I20"/>
    <mergeCell ref="I27:I28"/>
    <mergeCell ref="L19:L20"/>
    <mergeCell ref="L21:L26"/>
    <mergeCell ref="L27:L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A4DB-AAE7-4887-9BFA-FA6B587C2077}">
  <dimension ref="A1:D36"/>
  <sheetViews>
    <sheetView tabSelected="1" zoomScale="130" zoomScaleNormal="130" workbookViewId="0"/>
  </sheetViews>
  <sheetFormatPr defaultRowHeight="15" x14ac:dyDescent="0.25"/>
  <cols>
    <col min="1" max="1" width="16.140625" customWidth="1"/>
    <col min="2" max="2" width="72" customWidth="1"/>
    <col min="3" max="3" width="27.85546875" bestFit="1" customWidth="1"/>
    <col min="4" max="4" width="38.140625" bestFit="1" customWidth="1"/>
  </cols>
  <sheetData>
    <row r="1" spans="1:4" ht="28.5" x14ac:dyDescent="0.45">
      <c r="A1" s="2" t="s">
        <v>165</v>
      </c>
    </row>
    <row r="3" spans="1:4" ht="63" customHeight="1" x14ac:dyDescent="0.25">
      <c r="A3" s="51" t="s">
        <v>166</v>
      </c>
      <c r="B3" s="72" t="s">
        <v>190</v>
      </c>
      <c r="C3" s="72"/>
      <c r="D3" s="72"/>
    </row>
    <row r="4" spans="1:4" x14ac:dyDescent="0.25">
      <c r="A4" s="51"/>
      <c r="B4" s="50"/>
      <c r="C4" s="52"/>
    </row>
    <row r="5" spans="1:4" x14ac:dyDescent="0.25">
      <c r="A5" s="51"/>
      <c r="B5" s="50"/>
      <c r="C5" s="51" t="s">
        <v>174</v>
      </c>
      <c r="D5" s="29" t="s">
        <v>175</v>
      </c>
    </row>
    <row r="6" spans="1:4" ht="30" x14ac:dyDescent="0.25">
      <c r="A6" s="51" t="s">
        <v>167</v>
      </c>
      <c r="B6" s="50" t="s">
        <v>168</v>
      </c>
      <c r="C6" s="52" t="s">
        <v>169</v>
      </c>
      <c r="D6" s="52" t="s">
        <v>176</v>
      </c>
    </row>
    <row r="7" spans="1:4" ht="30" x14ac:dyDescent="0.25">
      <c r="A7" s="51"/>
      <c r="B7" s="50" t="s">
        <v>179</v>
      </c>
      <c r="C7" s="52" t="s">
        <v>170</v>
      </c>
      <c r="D7" s="52" t="s">
        <v>177</v>
      </c>
    </row>
    <row r="8" spans="1:4" x14ac:dyDescent="0.25">
      <c r="A8" s="29"/>
      <c r="B8" s="50"/>
    </row>
    <row r="9" spans="1:4" x14ac:dyDescent="0.25">
      <c r="A9" s="29" t="s">
        <v>171</v>
      </c>
      <c r="B9" s="50"/>
    </row>
    <row r="10" spans="1:4" x14ac:dyDescent="0.25">
      <c r="A10" s="52" t="s">
        <v>196</v>
      </c>
      <c r="B10" s="50"/>
    </row>
    <row r="11" spans="1:4" x14ac:dyDescent="0.25">
      <c r="A11" t="s">
        <v>178</v>
      </c>
      <c r="B11" s="50"/>
    </row>
    <row r="12" spans="1:4" x14ac:dyDescent="0.25">
      <c r="A12" t="s">
        <v>180</v>
      </c>
      <c r="B12" s="50"/>
    </row>
    <row r="13" spans="1:4" x14ac:dyDescent="0.25">
      <c r="A13" t="s">
        <v>181</v>
      </c>
    </row>
    <row r="14" spans="1:4" x14ac:dyDescent="0.25">
      <c r="A14" t="s">
        <v>182</v>
      </c>
    </row>
    <row r="15" spans="1:4" x14ac:dyDescent="0.25">
      <c r="A15" t="s">
        <v>183</v>
      </c>
    </row>
    <row r="16" spans="1:4" x14ac:dyDescent="0.25">
      <c r="A16" t="s">
        <v>184</v>
      </c>
    </row>
    <row r="17" spans="1:3" x14ac:dyDescent="0.25">
      <c r="A17" t="s">
        <v>198</v>
      </c>
    </row>
    <row r="18" spans="1:3" x14ac:dyDescent="0.25">
      <c r="A18" t="s">
        <v>187</v>
      </c>
    </row>
    <row r="19" spans="1:3" x14ac:dyDescent="0.25">
      <c r="A19" t="s">
        <v>197</v>
      </c>
    </row>
    <row r="22" spans="1:3" x14ac:dyDescent="0.25">
      <c r="A22" s="55"/>
      <c r="B22" s="55"/>
      <c r="C22" s="55"/>
    </row>
    <row r="23" spans="1:3" x14ac:dyDescent="0.25">
      <c r="A23" s="55"/>
      <c r="B23" s="55"/>
      <c r="C23" s="55"/>
    </row>
    <row r="28" spans="1:3" ht="15" customHeight="1" x14ac:dyDescent="0.25"/>
    <row r="36" ht="15" customHeight="1" x14ac:dyDescent="0.25"/>
  </sheetData>
  <mergeCells count="1">
    <mergeCell ref="B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E1762-9644-493B-B310-C48A80287D2A}">
  <dimension ref="A1:C10"/>
  <sheetViews>
    <sheetView zoomScale="130" zoomScaleNormal="130" workbookViewId="0"/>
  </sheetViews>
  <sheetFormatPr defaultRowHeight="15" x14ac:dyDescent="0.25"/>
  <cols>
    <col min="1" max="1" width="29.85546875" customWidth="1"/>
    <col min="2" max="2" width="12.42578125" customWidth="1"/>
    <col min="3" max="3" width="95" customWidth="1"/>
  </cols>
  <sheetData>
    <row r="1" spans="1:3" s="38" customFormat="1" ht="21" x14ac:dyDescent="0.35">
      <c r="A1" s="37" t="s">
        <v>126</v>
      </c>
    </row>
    <row r="2" spans="1:3" x14ac:dyDescent="0.25">
      <c r="A2" s="8" t="s">
        <v>137</v>
      </c>
    </row>
    <row r="4" spans="1:3" x14ac:dyDescent="0.25">
      <c r="A4" s="7" t="s">
        <v>127</v>
      </c>
      <c r="B4" s="61" t="s">
        <v>138</v>
      </c>
    </row>
    <row r="5" spans="1:3" x14ac:dyDescent="0.25">
      <c r="A5" s="7" t="s">
        <v>130</v>
      </c>
      <c r="B5" s="61" t="s">
        <v>144</v>
      </c>
      <c r="C5" s="5" t="s">
        <v>131</v>
      </c>
    </row>
    <row r="6" spans="1:3" x14ac:dyDescent="0.25">
      <c r="A6" s="7" t="s">
        <v>111</v>
      </c>
      <c r="B6" s="62">
        <v>0.1</v>
      </c>
      <c r="C6" s="5" t="s">
        <v>125</v>
      </c>
    </row>
    <row r="7" spans="1:3" x14ac:dyDescent="0.25">
      <c r="A7" s="53" t="s">
        <v>128</v>
      </c>
      <c r="B7" s="63">
        <v>0</v>
      </c>
      <c r="C7" s="54" t="s">
        <v>133</v>
      </c>
    </row>
    <row r="8" spans="1:3" x14ac:dyDescent="0.25">
      <c r="A8" s="7" t="s">
        <v>129</v>
      </c>
      <c r="B8" s="62">
        <v>0</v>
      </c>
      <c r="C8" s="5" t="s">
        <v>132</v>
      </c>
    </row>
    <row r="9" spans="1:3" x14ac:dyDescent="0.25">
      <c r="A9" s="7" t="s">
        <v>188</v>
      </c>
      <c r="B9" s="64">
        <v>0.02</v>
      </c>
      <c r="C9" s="57" t="s">
        <v>189</v>
      </c>
    </row>
    <row r="10" spans="1:3" x14ac:dyDescent="0.25">
      <c r="A10" s="7" t="s">
        <v>172</v>
      </c>
      <c r="B10" s="73" t="s">
        <v>209</v>
      </c>
      <c r="C10" s="74"/>
    </row>
  </sheetData>
  <sheetProtection sheet="1" objects="1" scenarios="1"/>
  <mergeCells count="1">
    <mergeCell ref="B10:C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527F0-7DA3-4757-B9DE-A2DE0B88C628}">
  <dimension ref="A1:D19"/>
  <sheetViews>
    <sheetView workbookViewId="0">
      <selection sqref="A1:D19"/>
    </sheetView>
  </sheetViews>
  <sheetFormatPr defaultRowHeight="15" x14ac:dyDescent="0.25"/>
  <cols>
    <col min="1" max="1" width="14.5703125" bestFit="1" customWidth="1"/>
    <col min="2" max="2" width="15" bestFit="1" customWidth="1"/>
    <col min="3" max="3" width="11.5703125" bestFit="1" customWidth="1"/>
    <col min="4" max="4" width="13.5703125" bestFit="1" customWidth="1"/>
  </cols>
  <sheetData>
    <row r="1" spans="1:4" x14ac:dyDescent="0.25">
      <c r="A1" t="s">
        <v>142</v>
      </c>
      <c r="B1" t="s">
        <v>148</v>
      </c>
      <c r="C1" t="s">
        <v>18</v>
      </c>
      <c r="D1" t="s">
        <v>143</v>
      </c>
    </row>
    <row r="2" spans="1:4" x14ac:dyDescent="0.25">
      <c r="A2" s="43">
        <v>45992</v>
      </c>
      <c r="B2" t="s">
        <v>139</v>
      </c>
      <c r="C2" t="s">
        <v>144</v>
      </c>
      <c r="D2">
        <v>21455.806595411999</v>
      </c>
    </row>
    <row r="3" spans="1:4" x14ac:dyDescent="0.25">
      <c r="A3" s="43">
        <v>45992</v>
      </c>
      <c r="B3" t="s">
        <v>140</v>
      </c>
      <c r="C3" t="s">
        <v>144</v>
      </c>
      <c r="D3">
        <v>160.47963195885501</v>
      </c>
    </row>
    <row r="4" spans="1:4" x14ac:dyDescent="0.25">
      <c r="A4" s="43">
        <v>45992</v>
      </c>
      <c r="B4" t="s">
        <v>141</v>
      </c>
      <c r="C4" t="s">
        <v>144</v>
      </c>
      <c r="D4">
        <v>250</v>
      </c>
    </row>
    <row r="5" spans="1:4" x14ac:dyDescent="0.25">
      <c r="A5" s="43">
        <v>46023</v>
      </c>
      <c r="B5" t="s">
        <v>139</v>
      </c>
      <c r="C5" t="s">
        <v>144</v>
      </c>
      <c r="D5">
        <v>21551.587228139699</v>
      </c>
    </row>
    <row r="6" spans="1:4" x14ac:dyDescent="0.25">
      <c r="A6" s="43">
        <v>46023</v>
      </c>
      <c r="B6" t="s">
        <v>140</v>
      </c>
      <c r="C6" t="s">
        <v>144</v>
      </c>
      <c r="D6">
        <v>160.48379319503599</v>
      </c>
    </row>
    <row r="7" spans="1:4" x14ac:dyDescent="0.25">
      <c r="A7" s="43">
        <v>46023</v>
      </c>
      <c r="B7" t="s">
        <v>141</v>
      </c>
      <c r="C7" t="s">
        <v>144</v>
      </c>
      <c r="D7">
        <v>225</v>
      </c>
    </row>
    <row r="8" spans="1:4" x14ac:dyDescent="0.25">
      <c r="A8" s="43">
        <v>46054</v>
      </c>
      <c r="B8" t="s">
        <v>139</v>
      </c>
      <c r="C8" t="s">
        <v>144</v>
      </c>
      <c r="D8">
        <v>19243.6100969664</v>
      </c>
    </row>
    <row r="9" spans="1:4" x14ac:dyDescent="0.25">
      <c r="A9" s="43">
        <v>46054</v>
      </c>
      <c r="B9" t="s">
        <v>140</v>
      </c>
      <c r="C9" t="s">
        <v>144</v>
      </c>
      <c r="D9">
        <v>144.93368694962101</v>
      </c>
    </row>
    <row r="10" spans="1:4" x14ac:dyDescent="0.25">
      <c r="A10" s="43">
        <v>46054</v>
      </c>
      <c r="B10" t="s">
        <v>141</v>
      </c>
      <c r="C10" t="s">
        <v>144</v>
      </c>
      <c r="D10">
        <v>150</v>
      </c>
    </row>
    <row r="11" spans="1:4" x14ac:dyDescent="0.25">
      <c r="A11" s="43">
        <v>46082</v>
      </c>
      <c r="B11" t="s">
        <v>139</v>
      </c>
      <c r="C11" t="s">
        <v>144</v>
      </c>
      <c r="D11">
        <v>21028.3047761778</v>
      </c>
    </row>
    <row r="12" spans="1:4" x14ac:dyDescent="0.25">
      <c r="A12" s="43">
        <v>46082</v>
      </c>
      <c r="B12" t="s">
        <v>140</v>
      </c>
      <c r="C12" t="s">
        <v>144</v>
      </c>
      <c r="D12">
        <v>146.150965459215</v>
      </c>
    </row>
    <row r="13" spans="1:4" x14ac:dyDescent="0.25">
      <c r="A13" s="43">
        <v>46082</v>
      </c>
      <c r="B13" t="s">
        <v>141</v>
      </c>
      <c r="C13" t="s">
        <v>144</v>
      </c>
      <c r="D13">
        <v>208</v>
      </c>
    </row>
    <row r="14" spans="1:4" x14ac:dyDescent="0.25">
      <c r="A14" s="43">
        <v>46113</v>
      </c>
      <c r="B14" t="s">
        <v>139</v>
      </c>
      <c r="C14" t="s">
        <v>144</v>
      </c>
      <c r="D14">
        <v>20297.512372818699</v>
      </c>
    </row>
    <row r="15" spans="1:4" x14ac:dyDescent="0.25">
      <c r="A15" s="43">
        <v>46113</v>
      </c>
      <c r="B15" t="s">
        <v>140</v>
      </c>
      <c r="C15" t="s">
        <v>144</v>
      </c>
      <c r="D15">
        <v>134.962086847623</v>
      </c>
    </row>
    <row r="16" spans="1:4" x14ac:dyDescent="0.25">
      <c r="A16" s="43">
        <v>46113</v>
      </c>
      <c r="B16" t="s">
        <v>141</v>
      </c>
      <c r="C16" t="s">
        <v>144</v>
      </c>
      <c r="D16">
        <v>190</v>
      </c>
    </row>
    <row r="17" spans="1:4" x14ac:dyDescent="0.25">
      <c r="A17" s="43">
        <v>46143</v>
      </c>
      <c r="B17" t="s">
        <v>139</v>
      </c>
      <c r="C17" t="s">
        <v>144</v>
      </c>
      <c r="D17">
        <v>21351.841060148701</v>
      </c>
    </row>
    <row r="18" spans="1:4" x14ac:dyDescent="0.25">
      <c r="A18" s="43">
        <v>46143</v>
      </c>
      <c r="B18" t="s">
        <v>140</v>
      </c>
      <c r="C18" t="s">
        <v>144</v>
      </c>
      <c r="D18">
        <v>139.45049232277799</v>
      </c>
    </row>
    <row r="19" spans="1:4" x14ac:dyDescent="0.25">
      <c r="A19" s="43">
        <v>46143</v>
      </c>
      <c r="B19" t="s">
        <v>141</v>
      </c>
      <c r="C19" t="s">
        <v>144</v>
      </c>
      <c r="D19">
        <v>220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B57C-36F9-47E4-8A6C-C6A72C1F3F2F}">
  <dimension ref="A1:E13"/>
  <sheetViews>
    <sheetView workbookViewId="0">
      <selection sqref="A1:E13"/>
    </sheetView>
  </sheetViews>
  <sheetFormatPr defaultRowHeight="15" x14ac:dyDescent="0.25"/>
  <cols>
    <col min="1" max="1" width="14.5703125" bestFit="1" customWidth="1"/>
    <col min="2" max="2" width="16.85546875" bestFit="1" customWidth="1"/>
    <col min="3" max="3" width="23.7109375" bestFit="1" customWidth="1"/>
    <col min="4" max="4" width="11.5703125" bestFit="1" customWidth="1"/>
    <col min="5" max="5" width="13.5703125" bestFit="1" customWidth="1"/>
    <col min="6" max="6" width="7.28515625" bestFit="1" customWidth="1"/>
    <col min="7" max="7" width="13.5703125" customWidth="1"/>
  </cols>
  <sheetData>
    <row r="1" spans="1:5" x14ac:dyDescent="0.25">
      <c r="A1" t="s">
        <v>142</v>
      </c>
      <c r="B1" t="s">
        <v>19</v>
      </c>
      <c r="C1" t="s">
        <v>20</v>
      </c>
      <c r="D1" t="s">
        <v>18</v>
      </c>
      <c r="E1" t="s">
        <v>143</v>
      </c>
    </row>
    <row r="2" spans="1:5" x14ac:dyDescent="0.25">
      <c r="A2" s="43">
        <v>46143</v>
      </c>
      <c r="B2" t="s">
        <v>21</v>
      </c>
      <c r="C2" t="s">
        <v>32</v>
      </c>
      <c r="D2" t="s">
        <v>144</v>
      </c>
      <c r="E2">
        <v>268.8137704257</v>
      </c>
    </row>
    <row r="3" spans="1:5" x14ac:dyDescent="0.25">
      <c r="A3" s="43">
        <v>46143</v>
      </c>
      <c r="B3" t="s">
        <v>21</v>
      </c>
      <c r="C3" t="s">
        <v>36</v>
      </c>
      <c r="D3" t="s">
        <v>144</v>
      </c>
      <c r="E3">
        <v>590.94907338500002</v>
      </c>
    </row>
    <row r="4" spans="1:5" x14ac:dyDescent="0.25">
      <c r="A4" s="43">
        <v>46143</v>
      </c>
      <c r="B4" t="s">
        <v>21</v>
      </c>
      <c r="C4" t="s">
        <v>40</v>
      </c>
      <c r="D4" t="s">
        <v>144</v>
      </c>
      <c r="E4">
        <v>217.291509456</v>
      </c>
    </row>
    <row r="5" spans="1:5" x14ac:dyDescent="0.25">
      <c r="A5" s="43">
        <v>46143</v>
      </c>
      <c r="B5" t="s">
        <v>21</v>
      </c>
      <c r="C5" t="s">
        <v>145</v>
      </c>
      <c r="D5" t="s">
        <v>144</v>
      </c>
      <c r="E5">
        <v>505.37845820000001</v>
      </c>
    </row>
    <row r="6" spans="1:5" x14ac:dyDescent="0.25">
      <c r="A6" s="43">
        <v>46143</v>
      </c>
      <c r="B6" t="s">
        <v>21</v>
      </c>
      <c r="C6" t="s">
        <v>43</v>
      </c>
      <c r="D6" t="s">
        <v>144</v>
      </c>
      <c r="E6">
        <v>143.84966937600001</v>
      </c>
    </row>
    <row r="7" spans="1:5" x14ac:dyDescent="0.25">
      <c r="A7" s="43">
        <v>46143</v>
      </c>
      <c r="B7" t="s">
        <v>21</v>
      </c>
      <c r="C7" t="s">
        <v>28</v>
      </c>
      <c r="D7" t="s">
        <v>144</v>
      </c>
      <c r="E7">
        <v>3986.789862952</v>
      </c>
    </row>
    <row r="8" spans="1:5" x14ac:dyDescent="0.25">
      <c r="A8" s="43">
        <v>46143</v>
      </c>
      <c r="B8" t="s">
        <v>21</v>
      </c>
      <c r="C8" t="s">
        <v>54</v>
      </c>
      <c r="D8" t="s">
        <v>144</v>
      </c>
      <c r="E8">
        <v>108.58752847</v>
      </c>
    </row>
    <row r="9" spans="1:5" x14ac:dyDescent="0.25">
      <c r="A9" s="43">
        <v>46143</v>
      </c>
      <c r="B9" t="s">
        <v>21</v>
      </c>
      <c r="C9" t="s">
        <v>26</v>
      </c>
      <c r="D9" t="s">
        <v>144</v>
      </c>
      <c r="E9">
        <v>1578.6649617779999</v>
      </c>
    </row>
    <row r="10" spans="1:5" x14ac:dyDescent="0.25">
      <c r="A10" s="43">
        <v>46143</v>
      </c>
      <c r="B10" t="s">
        <v>21</v>
      </c>
      <c r="C10" t="s">
        <v>91</v>
      </c>
      <c r="D10" t="s">
        <v>144</v>
      </c>
      <c r="E10">
        <v>15.563870584</v>
      </c>
    </row>
    <row r="11" spans="1:5" x14ac:dyDescent="0.25">
      <c r="A11" s="43">
        <v>46143</v>
      </c>
      <c r="B11" t="s">
        <v>21</v>
      </c>
      <c r="C11" t="s">
        <v>92</v>
      </c>
      <c r="D11" t="s">
        <v>144</v>
      </c>
      <c r="E11">
        <v>42.906308742</v>
      </c>
    </row>
    <row r="12" spans="1:5" x14ac:dyDescent="0.25">
      <c r="A12" s="43">
        <v>46143</v>
      </c>
      <c r="B12" t="s">
        <v>21</v>
      </c>
      <c r="C12" t="s">
        <v>147</v>
      </c>
      <c r="D12" t="s">
        <v>144</v>
      </c>
      <c r="E12">
        <v>54.955680979999997</v>
      </c>
    </row>
    <row r="13" spans="1:5" x14ac:dyDescent="0.25">
      <c r="A13" s="43">
        <v>46143</v>
      </c>
      <c r="B13" t="s">
        <v>21</v>
      </c>
      <c r="C13" t="s">
        <v>146</v>
      </c>
      <c r="D13" t="s">
        <v>144</v>
      </c>
      <c r="E13">
        <v>13838.090365800001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4EB4-262D-4E3B-8A78-7AD930F10055}">
  <dimension ref="A1:O14"/>
  <sheetViews>
    <sheetView workbookViewId="0">
      <selection activeCell="A2" sqref="A2"/>
    </sheetView>
  </sheetViews>
  <sheetFormatPr defaultRowHeight="15" x14ac:dyDescent="0.25"/>
  <cols>
    <col min="1" max="1" width="14.5703125" bestFit="1" customWidth="1"/>
    <col min="2" max="2" width="16.85546875" bestFit="1" customWidth="1"/>
    <col min="3" max="3" width="23.7109375" bestFit="1" customWidth="1"/>
    <col min="4" max="4" width="11.5703125" bestFit="1" customWidth="1"/>
    <col min="5" max="5" width="13.5703125" style="47" bestFit="1" customWidth="1"/>
    <col min="6" max="7" width="11.28515625" style="42" bestFit="1" customWidth="1"/>
    <col min="8" max="9" width="11.7109375" style="42" bestFit="1" customWidth="1"/>
    <col min="10" max="10" width="12" style="42" bestFit="1" customWidth="1"/>
    <col min="11" max="12" width="12" style="47" bestFit="1" customWidth="1"/>
    <col min="13" max="15" width="12.28515625" style="47" bestFit="1" customWidth="1"/>
    <col min="20" max="20" width="35.140625" bestFit="1" customWidth="1"/>
  </cols>
  <sheetData>
    <row r="1" spans="1:15" x14ac:dyDescent="0.25">
      <c r="A1" t="s">
        <v>142</v>
      </c>
      <c r="B1" t="s">
        <v>19</v>
      </c>
      <c r="C1" t="s">
        <v>20</v>
      </c>
      <c r="D1" t="s">
        <v>18</v>
      </c>
      <c r="E1" s="48" t="s">
        <v>143</v>
      </c>
      <c r="F1" s="42" t="s">
        <v>210</v>
      </c>
      <c r="G1" s="42" t="s">
        <v>211</v>
      </c>
      <c r="H1" s="42" t="s">
        <v>212</v>
      </c>
      <c r="I1" s="42" t="s">
        <v>213</v>
      </c>
      <c r="J1" s="47" t="s">
        <v>98</v>
      </c>
      <c r="K1" s="47" t="s">
        <v>154</v>
      </c>
      <c r="L1" s="47" t="s">
        <v>155</v>
      </c>
      <c r="M1" s="47" t="s">
        <v>156</v>
      </c>
      <c r="N1" s="47" t="s">
        <v>157</v>
      </c>
      <c r="O1"/>
    </row>
    <row r="2" spans="1:15" x14ac:dyDescent="0.25">
      <c r="A2" s="43">
        <v>46143</v>
      </c>
      <c r="B2" t="s">
        <v>21</v>
      </c>
      <c r="C2" t="s">
        <v>32</v>
      </c>
      <c r="D2" t="s">
        <v>144</v>
      </c>
      <c r="E2" s="47">
        <v>268.8137704257</v>
      </c>
      <c r="F2" s="42">
        <v>0.41</v>
      </c>
      <c r="H2" s="42">
        <v>0.24</v>
      </c>
      <c r="I2" s="42">
        <v>0.45</v>
      </c>
      <c r="J2">
        <v>298.68196713966665</v>
      </c>
      <c r="K2">
        <v>176.22236061240335</v>
      </c>
      <c r="L2">
        <v>268.8137704257</v>
      </c>
      <c r="M2">
        <v>226.99829502614665</v>
      </c>
      <c r="N2">
        <v>164.27508192681668</v>
      </c>
      <c r="O2"/>
    </row>
    <row r="3" spans="1:15" x14ac:dyDescent="0.25">
      <c r="A3" s="43">
        <v>46143</v>
      </c>
      <c r="B3" t="s">
        <v>21</v>
      </c>
      <c r="C3" t="s">
        <v>36</v>
      </c>
      <c r="D3" t="s">
        <v>144</v>
      </c>
      <c r="E3" s="47">
        <v>590.94907338500002</v>
      </c>
      <c r="F3" s="42">
        <v>0.33</v>
      </c>
      <c r="G3" s="42">
        <v>0.54</v>
      </c>
      <c r="H3" s="42">
        <v>0.24</v>
      </c>
      <c r="I3" s="42">
        <v>0.45</v>
      </c>
      <c r="J3">
        <v>656.61008153888895</v>
      </c>
      <c r="K3">
        <v>439.92875463105554</v>
      </c>
      <c r="L3">
        <v>302.0406375078889</v>
      </c>
      <c r="M3">
        <v>499.02366196955563</v>
      </c>
      <c r="N3">
        <v>361.13554484638894</v>
      </c>
      <c r="O3"/>
    </row>
    <row r="4" spans="1:15" x14ac:dyDescent="0.25">
      <c r="A4" s="43">
        <v>46143</v>
      </c>
      <c r="B4" t="s">
        <v>21</v>
      </c>
      <c r="C4" t="s">
        <v>40</v>
      </c>
      <c r="D4" t="s">
        <v>144</v>
      </c>
      <c r="E4" s="47">
        <v>217.291509456</v>
      </c>
      <c r="F4" s="42">
        <v>0.41</v>
      </c>
      <c r="G4" s="42">
        <v>0.62</v>
      </c>
      <c r="H4" s="42">
        <v>0.24</v>
      </c>
      <c r="I4" s="42">
        <v>0.45</v>
      </c>
      <c r="J4">
        <v>241.43501050666666</v>
      </c>
      <c r="K4">
        <v>142.44665619893334</v>
      </c>
      <c r="L4">
        <v>91.745303992533337</v>
      </c>
      <c r="M4">
        <v>183.49060798506667</v>
      </c>
      <c r="N4">
        <v>132.78925577866667</v>
      </c>
      <c r="O4"/>
    </row>
    <row r="5" spans="1:15" x14ac:dyDescent="0.25">
      <c r="A5" s="43">
        <v>46143</v>
      </c>
      <c r="B5" t="s">
        <v>21</v>
      </c>
      <c r="C5" t="s">
        <v>145</v>
      </c>
      <c r="D5" t="s">
        <v>144</v>
      </c>
      <c r="E5" s="47">
        <v>505.37845820000001</v>
      </c>
      <c r="F5" s="42">
        <v>0.41</v>
      </c>
      <c r="G5" s="42">
        <v>0.62</v>
      </c>
      <c r="H5" s="42">
        <v>0.24</v>
      </c>
      <c r="I5" s="42">
        <v>0.45</v>
      </c>
      <c r="J5">
        <v>561.53162022222227</v>
      </c>
      <c r="K5">
        <v>331.30365593111117</v>
      </c>
      <c r="L5">
        <v>213.38201568444447</v>
      </c>
      <c r="M5">
        <v>426.76403136888894</v>
      </c>
      <c r="N5">
        <v>308.8423911222223</v>
      </c>
      <c r="O5"/>
    </row>
    <row r="6" spans="1:15" x14ac:dyDescent="0.25">
      <c r="A6" s="43">
        <v>46143</v>
      </c>
      <c r="B6" t="s">
        <v>21</v>
      </c>
      <c r="C6" t="s">
        <v>43</v>
      </c>
      <c r="D6" t="s">
        <v>144</v>
      </c>
      <c r="E6" s="47">
        <v>143.84966937600001</v>
      </c>
      <c r="F6" s="42">
        <v>0.41</v>
      </c>
      <c r="G6" s="42">
        <v>0.62</v>
      </c>
      <c r="H6" s="42">
        <v>0.24</v>
      </c>
      <c r="I6" s="42">
        <v>0.45</v>
      </c>
      <c r="J6">
        <v>159.83296597333333</v>
      </c>
      <c r="K6">
        <v>94.301449924266677</v>
      </c>
      <c r="L6">
        <v>60.736527069866668</v>
      </c>
      <c r="M6">
        <v>121.47305413973334</v>
      </c>
      <c r="N6">
        <v>87.90813128533334</v>
      </c>
      <c r="O6"/>
    </row>
    <row r="7" spans="1:15" x14ac:dyDescent="0.25">
      <c r="A7" s="43">
        <v>46143</v>
      </c>
      <c r="B7" t="s">
        <v>21</v>
      </c>
      <c r="C7" t="s">
        <v>28</v>
      </c>
      <c r="D7" t="s">
        <v>144</v>
      </c>
      <c r="E7" s="47">
        <v>3986.789862952</v>
      </c>
      <c r="F7" s="42">
        <v>0.4</v>
      </c>
      <c r="H7" s="42">
        <v>0.24</v>
      </c>
      <c r="I7" s="42">
        <v>0.45</v>
      </c>
      <c r="J7">
        <v>4429.7665143911108</v>
      </c>
      <c r="K7">
        <v>2657.8599086346662</v>
      </c>
      <c r="L7">
        <v>3986.789862952</v>
      </c>
      <c r="M7">
        <v>3366.6225509372443</v>
      </c>
      <c r="N7">
        <v>2436.371582915111</v>
      </c>
      <c r="O7"/>
    </row>
    <row r="8" spans="1:15" x14ac:dyDescent="0.25">
      <c r="A8" s="43">
        <v>46143</v>
      </c>
      <c r="B8" t="s">
        <v>21</v>
      </c>
      <c r="C8" t="s">
        <v>54</v>
      </c>
      <c r="D8" t="s">
        <v>144</v>
      </c>
      <c r="E8" s="47">
        <v>108.58752847</v>
      </c>
      <c r="F8" s="42">
        <v>0.4</v>
      </c>
      <c r="H8" s="42">
        <v>0.24</v>
      </c>
      <c r="I8" s="42">
        <v>0.45</v>
      </c>
      <c r="J8">
        <v>120.65280941111111</v>
      </c>
      <c r="K8">
        <v>72.391685646666659</v>
      </c>
      <c r="L8">
        <v>108.58752847</v>
      </c>
      <c r="M8">
        <v>91.696135152444441</v>
      </c>
      <c r="N8">
        <v>66.35904517611111</v>
      </c>
      <c r="O8"/>
    </row>
    <row r="9" spans="1:15" x14ac:dyDescent="0.25">
      <c r="A9" s="43">
        <v>46143</v>
      </c>
      <c r="B9" t="s">
        <v>21</v>
      </c>
      <c r="C9" t="s">
        <v>26</v>
      </c>
      <c r="D9" t="s">
        <v>144</v>
      </c>
      <c r="E9" s="47">
        <v>1578.6649617779999</v>
      </c>
      <c r="F9" s="42">
        <v>0.36</v>
      </c>
      <c r="G9" s="42">
        <v>0.56000000000000005</v>
      </c>
      <c r="H9" s="42">
        <v>0.24</v>
      </c>
      <c r="I9" s="42">
        <v>0.45</v>
      </c>
      <c r="J9">
        <v>1754.0721797533331</v>
      </c>
      <c r="K9">
        <v>1122.6061950421333</v>
      </c>
      <c r="L9">
        <v>771.79175909146647</v>
      </c>
      <c r="M9">
        <v>1333.0948566125332</v>
      </c>
      <c r="N9">
        <v>964.73969886433326</v>
      </c>
      <c r="O9"/>
    </row>
    <row r="10" spans="1:15" x14ac:dyDescent="0.25">
      <c r="A10" s="43">
        <v>46143</v>
      </c>
      <c r="B10" t="s">
        <v>21</v>
      </c>
      <c r="C10" t="s">
        <v>91</v>
      </c>
      <c r="D10" t="s">
        <v>144</v>
      </c>
      <c r="E10" s="47">
        <v>15.563870584</v>
      </c>
      <c r="F10" s="42">
        <v>0.41</v>
      </c>
      <c r="G10" s="42">
        <v>0.62</v>
      </c>
      <c r="H10" s="42">
        <v>0.32</v>
      </c>
      <c r="I10" s="42">
        <v>0.53</v>
      </c>
      <c r="J10">
        <v>17.293189537777778</v>
      </c>
      <c r="K10">
        <v>10.202981827288891</v>
      </c>
      <c r="L10">
        <v>6.5714120243555554</v>
      </c>
      <c r="M10">
        <v>11.759368885688888</v>
      </c>
      <c r="N10">
        <v>8.1277990827555548</v>
      </c>
      <c r="O10"/>
    </row>
    <row r="11" spans="1:15" x14ac:dyDescent="0.25">
      <c r="A11" s="43">
        <v>46143</v>
      </c>
      <c r="B11" t="s">
        <v>21</v>
      </c>
      <c r="C11" t="s">
        <v>92</v>
      </c>
      <c r="D11" t="s">
        <v>144</v>
      </c>
      <c r="E11" s="47">
        <v>42.906308742</v>
      </c>
      <c r="F11" s="42">
        <v>0.41</v>
      </c>
      <c r="G11" s="42">
        <v>0.61</v>
      </c>
      <c r="H11" s="42">
        <v>0.32</v>
      </c>
      <c r="I11" s="42">
        <v>0.53</v>
      </c>
      <c r="J11">
        <v>47.673676379999996</v>
      </c>
      <c r="K11">
        <v>28.127469064200003</v>
      </c>
      <c r="L11">
        <v>18.5927337882</v>
      </c>
      <c r="M11">
        <v>32.418099938399997</v>
      </c>
      <c r="N11">
        <v>22.406627898599996</v>
      </c>
      <c r="O11"/>
    </row>
    <row r="12" spans="1:15" x14ac:dyDescent="0.25">
      <c r="A12" s="43">
        <v>46143</v>
      </c>
      <c r="B12" t="s">
        <v>21</v>
      </c>
      <c r="C12" t="s">
        <v>147</v>
      </c>
      <c r="D12" t="s">
        <v>144</v>
      </c>
      <c r="E12" s="47">
        <v>54.955680979999997</v>
      </c>
      <c r="F12" s="42">
        <v>0.36</v>
      </c>
      <c r="G12" s="42">
        <v>0.62</v>
      </c>
      <c r="H12" s="42">
        <v>0.27</v>
      </c>
      <c r="I12" s="42">
        <v>0.54</v>
      </c>
      <c r="J12">
        <v>61.061867755555554</v>
      </c>
      <c r="K12">
        <v>39.079595363555555</v>
      </c>
      <c r="L12">
        <v>23.203509747111109</v>
      </c>
      <c r="M12">
        <v>44.575163461555555</v>
      </c>
      <c r="N12">
        <v>28.088459167555552</v>
      </c>
      <c r="O12"/>
    </row>
    <row r="13" spans="1:15" x14ac:dyDescent="0.25">
      <c r="A13" s="43">
        <v>46143</v>
      </c>
      <c r="B13" t="s">
        <v>21</v>
      </c>
      <c r="C13" t="s">
        <v>146</v>
      </c>
      <c r="D13" t="s">
        <v>144</v>
      </c>
      <c r="E13" s="47">
        <v>13838.090365800001</v>
      </c>
      <c r="H13" s="42">
        <v>0.27</v>
      </c>
      <c r="I13" s="42">
        <v>0.47</v>
      </c>
      <c r="J13">
        <v>15375.655962000001</v>
      </c>
      <c r="K13">
        <v>13838.090365800001</v>
      </c>
      <c r="L13">
        <v>13838.090365800001</v>
      </c>
      <c r="M13">
        <v>11224.228852260001</v>
      </c>
      <c r="N13">
        <v>8149.0976598600009</v>
      </c>
      <c r="O13"/>
    </row>
    <row r="14" spans="1:15" x14ac:dyDescent="0.25">
      <c r="A14" t="s">
        <v>96</v>
      </c>
      <c r="E14" s="47">
        <f>SUBTOTAL(109,DiscountCalculator[PreTaxCost])</f>
        <v>21351.841060148701</v>
      </c>
      <c r="J14" s="47">
        <f>SUBTOTAL(109,DiscountCalculator[ListPrice])</f>
        <v>23724.267844609665</v>
      </c>
      <c r="K14" s="47">
        <f>SUBTOTAL(109,DiscountCalculator[RI1YPrice])</f>
        <v>18952.561078676281</v>
      </c>
      <c r="L14" s="47">
        <f>SUBTOTAL(109,DiscountCalculator[RI3YPrice])</f>
        <v>19690.345426553566</v>
      </c>
      <c r="M14" s="47">
        <f>SUBTOTAL(109,DiscountCalculator[SP1YPrice])</f>
        <v>17562.144677737258</v>
      </c>
      <c r="N14" s="47">
        <f>SUBTOTAL(109,DiscountCalculator[SP3YPrice])</f>
        <v>12730.141277923896</v>
      </c>
      <c r="O1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D9CD-551C-47A6-89D9-E36065E1E6F4}">
  <dimension ref="A1:E12"/>
  <sheetViews>
    <sheetView workbookViewId="0">
      <selection activeCell="A6" sqref="A6"/>
    </sheetView>
  </sheetViews>
  <sheetFormatPr defaultRowHeight="15" x14ac:dyDescent="0.25"/>
  <cols>
    <col min="1" max="1" width="13.42578125" bestFit="1" customWidth="1"/>
    <col min="2" max="2" width="18.28515625" bestFit="1" customWidth="1"/>
    <col min="3" max="3" width="11.85546875" bestFit="1" customWidth="1"/>
    <col min="4" max="4" width="13.42578125" bestFit="1" customWidth="1"/>
    <col min="5" max="5" width="18.28515625" bestFit="1" customWidth="1"/>
  </cols>
  <sheetData>
    <row r="1" spans="1:5" x14ac:dyDescent="0.25">
      <c r="A1" s="8" t="s">
        <v>152</v>
      </c>
      <c r="B1" s="8"/>
      <c r="C1" s="8"/>
      <c r="D1" s="8" t="s">
        <v>153</v>
      </c>
    </row>
    <row r="3" spans="1:5" x14ac:dyDescent="0.25">
      <c r="A3" s="23" t="s">
        <v>148</v>
      </c>
      <c r="B3" t="s">
        <v>139</v>
      </c>
      <c r="D3" s="23" t="s">
        <v>148</v>
      </c>
      <c r="E3" t="s">
        <v>114</v>
      </c>
    </row>
    <row r="5" spans="1:5" x14ac:dyDescent="0.25">
      <c r="A5" s="23" t="s">
        <v>149</v>
      </c>
      <c r="B5" t="s">
        <v>151</v>
      </c>
      <c r="D5" s="23" t="s">
        <v>149</v>
      </c>
      <c r="E5" t="s">
        <v>151</v>
      </c>
    </row>
    <row r="6" spans="1:5" x14ac:dyDescent="0.25">
      <c r="A6" s="46">
        <v>45992</v>
      </c>
      <c r="B6" s="44">
        <v>21455.806595411999</v>
      </c>
      <c r="D6" s="46">
        <v>45992</v>
      </c>
      <c r="E6" s="44">
        <v>410.47963195885501</v>
      </c>
    </row>
    <row r="7" spans="1:5" x14ac:dyDescent="0.25">
      <c r="A7" s="46">
        <v>46023</v>
      </c>
      <c r="B7" s="44">
        <v>21551.587228139699</v>
      </c>
      <c r="D7" s="46">
        <v>46023</v>
      </c>
      <c r="E7" s="44">
        <v>385.48379319503601</v>
      </c>
    </row>
    <row r="8" spans="1:5" x14ac:dyDescent="0.25">
      <c r="A8" s="46">
        <v>46054</v>
      </c>
      <c r="B8" s="44">
        <v>19243.6100969664</v>
      </c>
      <c r="D8" s="46">
        <v>46054</v>
      </c>
      <c r="E8" s="44">
        <v>294.93368694962101</v>
      </c>
    </row>
    <row r="9" spans="1:5" x14ac:dyDescent="0.25">
      <c r="A9" s="46">
        <v>46082</v>
      </c>
      <c r="B9" s="44">
        <v>21028.3047761778</v>
      </c>
      <c r="D9" s="46">
        <v>46082</v>
      </c>
      <c r="E9" s="44">
        <v>354.150965459215</v>
      </c>
    </row>
    <row r="10" spans="1:5" x14ac:dyDescent="0.25">
      <c r="A10" s="46">
        <v>46113</v>
      </c>
      <c r="B10" s="44">
        <v>20297.512372818699</v>
      </c>
      <c r="D10" s="46">
        <v>46113</v>
      </c>
      <c r="E10" s="44">
        <v>324.96208684762303</v>
      </c>
    </row>
    <row r="11" spans="1:5" x14ac:dyDescent="0.25">
      <c r="A11" s="46">
        <v>46143</v>
      </c>
      <c r="B11" s="44">
        <v>21351.841060148701</v>
      </c>
      <c r="D11" s="46">
        <v>46143</v>
      </c>
      <c r="E11" s="44">
        <v>359.45049232277802</v>
      </c>
    </row>
    <row r="12" spans="1:5" x14ac:dyDescent="0.25">
      <c r="A12" s="45" t="s">
        <v>150</v>
      </c>
      <c r="B12" s="44">
        <v>124928.66212966329</v>
      </c>
      <c r="D12" s="45" t="s">
        <v>150</v>
      </c>
      <c r="E12" s="44">
        <v>2129.4606567331284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EA90D-DE97-4E66-AD1E-DCF669B8363F}">
  <dimension ref="A1:F6"/>
  <sheetViews>
    <sheetView zoomScale="130" zoomScaleNormal="130" workbookViewId="0"/>
  </sheetViews>
  <sheetFormatPr defaultRowHeight="15" x14ac:dyDescent="0.25"/>
  <cols>
    <col min="1" max="1" width="35.140625" bestFit="1" customWidth="1"/>
    <col min="3" max="3" width="6.5703125" customWidth="1"/>
    <col min="4" max="4" width="29.85546875" bestFit="1" customWidth="1"/>
    <col min="6" max="6" width="53.7109375" bestFit="1" customWidth="1"/>
  </cols>
  <sheetData>
    <row r="1" spans="1:6" x14ac:dyDescent="0.25">
      <c r="A1" s="8" t="s">
        <v>158</v>
      </c>
    </row>
    <row r="2" spans="1:6" x14ac:dyDescent="0.25">
      <c r="A2" t="s">
        <v>332</v>
      </c>
      <c r="B2" s="47">
        <f>DiscountCalculator[[#Totals],[PreTaxCost]]</f>
        <v>21351.841060148701</v>
      </c>
      <c r="C2" s="47" t="str">
        <f>CURR</f>
        <v>USD</v>
      </c>
    </row>
    <row r="3" spans="1:6" x14ac:dyDescent="0.25">
      <c r="A3" t="s">
        <v>159</v>
      </c>
      <c r="B3" s="47">
        <f>DiscountCalculator[[#Totals],[RI1YPrice]]</f>
        <v>18952.561078676281</v>
      </c>
      <c r="C3" s="47" t="str">
        <f>CURR</f>
        <v>USD</v>
      </c>
      <c r="D3" t="s">
        <v>191</v>
      </c>
      <c r="E3" s="49">
        <f>1-(B3/$B$2)</f>
        <v>0.11236876364495152</v>
      </c>
      <c r="F3" t="s">
        <v>163</v>
      </c>
    </row>
    <row r="4" spans="1:6" x14ac:dyDescent="0.25">
      <c r="A4" t="s">
        <v>160</v>
      </c>
      <c r="B4" s="47">
        <f>DiscountCalculator[[#Totals],[RI3YPrice]]</f>
        <v>19690.345426553566</v>
      </c>
      <c r="C4" s="47" t="str">
        <f>CURR</f>
        <v>USD</v>
      </c>
      <c r="D4" t="s">
        <v>191</v>
      </c>
      <c r="E4" s="49">
        <f t="shared" ref="E4:E6" si="0">1-(B4/$B$2)</f>
        <v>7.7815099359097806E-2</v>
      </c>
      <c r="F4" t="s">
        <v>163</v>
      </c>
    </row>
    <row r="5" spans="1:6" x14ac:dyDescent="0.25">
      <c r="A5" t="s">
        <v>161</v>
      </c>
      <c r="B5" s="47">
        <f>DiscountCalculator[[#Totals],[SP1YPrice]]</f>
        <v>17562.144677737258</v>
      </c>
      <c r="C5" s="47" t="str">
        <f>CURR</f>
        <v>USD</v>
      </c>
      <c r="D5" t="s">
        <v>191</v>
      </c>
      <c r="E5" s="49">
        <f t="shared" si="0"/>
        <v>0.17748803823219594</v>
      </c>
      <c r="F5" t="s">
        <v>333</v>
      </c>
    </row>
    <row r="6" spans="1:6" x14ac:dyDescent="0.25">
      <c r="A6" t="s">
        <v>162</v>
      </c>
      <c r="B6" s="47">
        <f>DiscountCalculator[[#Totals],[SP3YPrice]]</f>
        <v>12730.141277923896</v>
      </c>
      <c r="C6" s="47" t="str">
        <f>CURR</f>
        <v>USD</v>
      </c>
      <c r="D6" t="s">
        <v>191</v>
      </c>
      <c r="E6" s="49">
        <f t="shared" si="0"/>
        <v>0.40379186778026532</v>
      </c>
      <c r="F6" t="s">
        <v>334</v>
      </c>
    </row>
  </sheetData>
  <sheetProtection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EFA3-BF57-45CA-9AC7-27FD8E90316E}">
  <dimension ref="A1:P40"/>
  <sheetViews>
    <sheetView zoomScale="120" zoomScaleNormal="120" workbookViewId="0">
      <selection activeCell="F6" sqref="F6"/>
    </sheetView>
  </sheetViews>
  <sheetFormatPr defaultRowHeight="15" x14ac:dyDescent="0.25"/>
  <cols>
    <col min="1" max="1" width="3.7109375" bestFit="1" customWidth="1"/>
    <col min="2" max="2" width="24" customWidth="1"/>
    <col min="3" max="3" width="13.140625" customWidth="1"/>
    <col min="4" max="4" width="12.7109375" customWidth="1"/>
    <col min="5" max="5" width="10.85546875" customWidth="1"/>
    <col min="6" max="6" width="8.85546875" customWidth="1"/>
    <col min="7" max="7" width="12.42578125" bestFit="1" customWidth="1"/>
    <col min="8" max="8" width="12.5703125" customWidth="1"/>
    <col min="9" max="9" width="13.42578125" customWidth="1"/>
    <col min="10" max="10" width="12.7109375" customWidth="1"/>
    <col min="11" max="11" width="9.5703125" bestFit="1" customWidth="1"/>
    <col min="12" max="12" width="11.85546875" customWidth="1"/>
  </cols>
  <sheetData>
    <row r="1" spans="2:11" s="3" customFormat="1" ht="28.5" x14ac:dyDescent="0.45">
      <c r="B1" s="2" t="str">
        <f>"Modelling the purchase of Azure Savings Plan for Compute for "&amp;CUSTNAME</f>
        <v>Modelling the purchase of Azure Savings Plan for Compute for Contoso</v>
      </c>
    </row>
    <row r="2" spans="2:11" x14ac:dyDescent="0.25">
      <c r="B2" s="8"/>
    </row>
    <row r="3" spans="2:11" x14ac:dyDescent="0.25">
      <c r="B3" s="8" t="s">
        <v>192</v>
      </c>
    </row>
    <row r="4" spans="2:11" x14ac:dyDescent="0.25">
      <c r="B4" s="8" t="s">
        <v>193</v>
      </c>
    </row>
    <row r="5" spans="2:11" x14ac:dyDescent="0.25">
      <c r="B5" s="8" t="s">
        <v>194</v>
      </c>
    </row>
    <row r="6" spans="2:11" x14ac:dyDescent="0.25">
      <c r="B6" s="8" t="s">
        <v>195</v>
      </c>
    </row>
    <row r="7" spans="2:11" x14ac:dyDescent="0.25">
      <c r="B7" s="8"/>
    </row>
    <row r="8" spans="2:11" x14ac:dyDescent="0.25">
      <c r="B8" s="4" t="s">
        <v>18</v>
      </c>
      <c r="C8" s="35" t="str">
        <f>CURR</f>
        <v>USD</v>
      </c>
    </row>
    <row r="9" spans="2:11" x14ac:dyDescent="0.25">
      <c r="B9" s="4" t="s">
        <v>173</v>
      </c>
      <c r="C9" s="34">
        <f>PAYGDISC</f>
        <v>0.1</v>
      </c>
    </row>
    <row r="10" spans="2:11" x14ac:dyDescent="0.25">
      <c r="B10" s="4" t="s">
        <v>0</v>
      </c>
      <c r="C10" s="56">
        <f>IF(C12=12,AVGDISCSP1Y,AVGDISCSP3Y)</f>
        <v>0.17748803823219594</v>
      </c>
      <c r="D10" s="76" t="s">
        <v>185</v>
      </c>
      <c r="E10" s="76"/>
      <c r="H10" s="39">
        <v>31</v>
      </c>
    </row>
    <row r="11" spans="2:11" x14ac:dyDescent="0.25">
      <c r="B11" s="4" t="s">
        <v>6</v>
      </c>
      <c r="C11" s="25">
        <f>H10*H14/100</f>
        <v>12.4</v>
      </c>
      <c r="D11" s="76" t="str">
        <f>CURR&amp;"/hr"</f>
        <v>USD/hr</v>
      </c>
      <c r="E11" s="76"/>
      <c r="H11" s="16" t="s">
        <v>11</v>
      </c>
      <c r="J11" s="16"/>
    </row>
    <row r="12" spans="2:11" x14ac:dyDescent="0.25">
      <c r="B12" s="4" t="s">
        <v>208</v>
      </c>
      <c r="C12" s="33">
        <v>12</v>
      </c>
      <c r="D12" s="76" t="s">
        <v>1</v>
      </c>
      <c r="E12" s="76"/>
    </row>
    <row r="13" spans="2:11" x14ac:dyDescent="0.25">
      <c r="B13" s="4" t="s">
        <v>2</v>
      </c>
      <c r="C13" s="6">
        <f>C12*(1-SPDISC)</f>
        <v>9.8701435412136487</v>
      </c>
      <c r="D13" s="76" t="s">
        <v>1</v>
      </c>
      <c r="E13" s="76"/>
      <c r="I13" s="15" t="s">
        <v>10</v>
      </c>
      <c r="J13" s="15"/>
    </row>
    <row r="14" spans="2:11" x14ac:dyDescent="0.25">
      <c r="G14" s="4" t="s">
        <v>99</v>
      </c>
      <c r="H14" s="33">
        <v>40</v>
      </c>
      <c r="I14" s="5" t="str">
        <f>CURR&amp;"/hr"</f>
        <v>USD/hr</v>
      </c>
    </row>
    <row r="16" spans="2:11" x14ac:dyDescent="0.25">
      <c r="C16" s="75" t="s">
        <v>16</v>
      </c>
      <c r="D16" s="75"/>
      <c r="E16" s="75"/>
      <c r="F16" s="75"/>
      <c r="H16" s="75" t="s">
        <v>17</v>
      </c>
      <c r="I16" s="75"/>
      <c r="J16" s="75"/>
      <c r="K16" s="75"/>
    </row>
    <row r="17" spans="1:12" x14ac:dyDescent="0.25">
      <c r="B17" s="7" t="s">
        <v>3</v>
      </c>
      <c r="C17" s="4" t="s">
        <v>9</v>
      </c>
      <c r="D17" s="36" t="s">
        <v>5</v>
      </c>
      <c r="E17" s="36" t="s">
        <v>12</v>
      </c>
      <c r="F17" s="17" t="s">
        <v>13</v>
      </c>
      <c r="G17" s="4" t="s">
        <v>14</v>
      </c>
      <c r="H17" s="4" t="s">
        <v>9</v>
      </c>
      <c r="I17" s="4" t="s">
        <v>5</v>
      </c>
      <c r="J17" s="4" t="s">
        <v>12</v>
      </c>
      <c r="K17" s="17" t="s">
        <v>15</v>
      </c>
      <c r="L17" s="4" t="s">
        <v>4</v>
      </c>
    </row>
    <row r="18" spans="1:12" x14ac:dyDescent="0.25">
      <c r="A18" s="77" t="s">
        <v>135</v>
      </c>
      <c r="B18" s="9">
        <f>Pivots!A6</f>
        <v>45992</v>
      </c>
      <c r="C18" s="13">
        <f t="shared" ref="C18:C23" si="0">D18+E18</f>
        <v>21866.286227370856</v>
      </c>
      <c r="D18" s="10">
        <f>GETPIVOTDATA("PreTaxCost",Pivots!$A$5,"BillingMonth",B18)</f>
        <v>21455.806595411999</v>
      </c>
      <c r="E18" s="10">
        <f>GETPIVOTDATA("PreTaxCost",Pivots!$D$5,"BillingMonth",B18)</f>
        <v>410.47963195885501</v>
      </c>
      <c r="F18" s="18" t="str">
        <f t="shared" ref="F18:F31" si="1">MAX(0,ROUND(D18/C18*100,0))&amp;" / "&amp;MIN(100,100-ROUND(D18/C18*100,0))</f>
        <v>98 / 2</v>
      </c>
      <c r="G18" s="10">
        <f t="shared" ref="G18:G29" si="2">SPCOMMIT*730</f>
        <v>9052</v>
      </c>
      <c r="H18" s="10">
        <f>E18+G18+I18</f>
        <v>19912.975155000837</v>
      </c>
      <c r="I18" s="10">
        <f t="shared" ref="I18" si="3">MAX(0,D18-G18/(1-SPDISC))</f>
        <v>10450.49552304198</v>
      </c>
      <c r="J18" s="10">
        <f t="shared" ref="J18" si="4">E18+G18</f>
        <v>9462.479631958855</v>
      </c>
      <c r="K18" s="19" t="str">
        <f t="shared" ref="K18" si="5">ROUND(I18/H18*100,0)&amp;" / "&amp;100-ROUND(I18/H18*100,0)</f>
        <v>52 / 48</v>
      </c>
      <c r="L18" s="10">
        <f t="shared" ref="L18" si="6">C18-H18</f>
        <v>1953.3110723700192</v>
      </c>
    </row>
    <row r="19" spans="1:12" x14ac:dyDescent="0.25">
      <c r="A19" s="77"/>
      <c r="B19" s="9">
        <f>Pivots!A7</f>
        <v>46023</v>
      </c>
      <c r="C19" s="13">
        <f t="shared" si="0"/>
        <v>21937.071021334734</v>
      </c>
      <c r="D19" s="10">
        <f>GETPIVOTDATA("PreTaxCost",Pivots!$A$5,"BillingMonth",B19)</f>
        <v>21551.587228139699</v>
      </c>
      <c r="E19" s="10">
        <f>GETPIVOTDATA("PreTaxCost",Pivots!$D$5,"BillingMonth",B19)</f>
        <v>385.48379319503601</v>
      </c>
      <c r="F19" s="18" t="str">
        <f t="shared" si="1"/>
        <v>98 / 2</v>
      </c>
      <c r="G19" s="10">
        <f t="shared" si="2"/>
        <v>9052</v>
      </c>
      <c r="H19" s="10">
        <f t="shared" ref="H19:H23" si="7">E19+G19+I19</f>
        <v>19983.759948964715</v>
      </c>
      <c r="I19" s="10">
        <f t="shared" ref="I19:I31" si="8">MAX(0,D19-G19/(1-SPDISC))</f>
        <v>10546.276155769679</v>
      </c>
      <c r="J19" s="10">
        <f t="shared" ref="J19:J31" si="9">E19+G19</f>
        <v>9437.4837931950351</v>
      </c>
      <c r="K19" s="19" t="str">
        <f t="shared" ref="K19:K31" si="10">ROUND(I19/H19*100,0)&amp;" / "&amp;100-ROUND(I19/H19*100,0)</f>
        <v>53 / 47</v>
      </c>
      <c r="L19" s="10">
        <f t="shared" ref="L19:L29" si="11">C19-H19</f>
        <v>1953.3110723700192</v>
      </c>
    </row>
    <row r="20" spans="1:12" x14ac:dyDescent="0.25">
      <c r="A20" s="77"/>
      <c r="B20" s="9">
        <f>Pivots!A8</f>
        <v>46054</v>
      </c>
      <c r="C20" s="13">
        <f t="shared" si="0"/>
        <v>19538.543783916022</v>
      </c>
      <c r="D20" s="10">
        <f>GETPIVOTDATA("PreTaxCost",Pivots!$A$5,"BillingMonth",B20)</f>
        <v>19243.6100969664</v>
      </c>
      <c r="E20" s="10">
        <f>GETPIVOTDATA("PreTaxCost",Pivots!$D$5,"BillingMonth",B20)</f>
        <v>294.93368694962101</v>
      </c>
      <c r="F20" s="18" t="str">
        <f t="shared" si="1"/>
        <v>98 / 2</v>
      </c>
      <c r="G20" s="10">
        <f t="shared" si="2"/>
        <v>9052</v>
      </c>
      <c r="H20" s="10">
        <f t="shared" si="7"/>
        <v>17585.232711546003</v>
      </c>
      <c r="I20" s="10">
        <f t="shared" si="8"/>
        <v>8238.2990245963811</v>
      </c>
      <c r="J20" s="10">
        <f t="shared" si="9"/>
        <v>9346.9336869496219</v>
      </c>
      <c r="K20" s="19" t="str">
        <f t="shared" si="10"/>
        <v>47 / 53</v>
      </c>
      <c r="L20" s="10">
        <f t="shared" si="11"/>
        <v>1953.3110723700192</v>
      </c>
    </row>
    <row r="21" spans="1:12" x14ac:dyDescent="0.25">
      <c r="A21" s="77"/>
      <c r="B21" s="9">
        <f>Pivots!A9</f>
        <v>46082</v>
      </c>
      <c r="C21" s="13">
        <f t="shared" si="0"/>
        <v>21382.455741637015</v>
      </c>
      <c r="D21" s="10">
        <f>GETPIVOTDATA("PreTaxCost",Pivots!$A$5,"BillingMonth",B21)</f>
        <v>21028.3047761778</v>
      </c>
      <c r="E21" s="10">
        <f>GETPIVOTDATA("PreTaxCost",Pivots!$D$5,"BillingMonth",B21)</f>
        <v>354.150965459215</v>
      </c>
      <c r="F21" s="18" t="str">
        <f t="shared" si="1"/>
        <v>98 / 2</v>
      </c>
      <c r="G21" s="10">
        <f t="shared" si="2"/>
        <v>9052</v>
      </c>
      <c r="H21" s="10">
        <f t="shared" si="7"/>
        <v>19429.144669266996</v>
      </c>
      <c r="I21" s="10">
        <f t="shared" si="8"/>
        <v>10022.993703807781</v>
      </c>
      <c r="J21" s="10">
        <f t="shared" si="9"/>
        <v>9406.1509654592155</v>
      </c>
      <c r="K21" s="19" t="str">
        <f t="shared" si="10"/>
        <v>52 / 48</v>
      </c>
      <c r="L21" s="10">
        <f t="shared" si="11"/>
        <v>1953.3110723700192</v>
      </c>
    </row>
    <row r="22" spans="1:12" x14ac:dyDescent="0.25">
      <c r="A22" s="77"/>
      <c r="B22" s="9">
        <f>Pivots!A10</f>
        <v>46113</v>
      </c>
      <c r="C22" s="13">
        <f t="shared" si="0"/>
        <v>20622.474459666322</v>
      </c>
      <c r="D22" s="10">
        <f>GETPIVOTDATA("PreTaxCost",Pivots!$A$5,"BillingMonth",B22)</f>
        <v>20297.512372818699</v>
      </c>
      <c r="E22" s="10">
        <f>GETPIVOTDATA("PreTaxCost",Pivots!$D$5,"BillingMonth",B22)</f>
        <v>324.96208684762303</v>
      </c>
      <c r="F22" s="18" t="str">
        <f t="shared" si="1"/>
        <v>98 / 2</v>
      </c>
      <c r="G22" s="10">
        <f t="shared" si="2"/>
        <v>9052</v>
      </c>
      <c r="H22" s="10">
        <f t="shared" si="7"/>
        <v>18669.163387296303</v>
      </c>
      <c r="I22" s="10">
        <f t="shared" si="8"/>
        <v>9292.2013004486798</v>
      </c>
      <c r="J22" s="10">
        <f t="shared" si="9"/>
        <v>9376.9620868476231</v>
      </c>
      <c r="K22" s="19" t="str">
        <f t="shared" si="10"/>
        <v>50 / 50</v>
      </c>
      <c r="L22" s="10">
        <f t="shared" si="11"/>
        <v>1953.3110723700192</v>
      </c>
    </row>
    <row r="23" spans="1:12" x14ac:dyDescent="0.25">
      <c r="A23" s="77"/>
      <c r="B23" s="9">
        <f>Pivots!A11</f>
        <v>46143</v>
      </c>
      <c r="C23" s="13">
        <f t="shared" si="0"/>
        <v>21711.291552471481</v>
      </c>
      <c r="D23" s="10">
        <f>GETPIVOTDATA("PreTaxCost",Pivots!$A$5,"BillingMonth",B23)</f>
        <v>21351.841060148701</v>
      </c>
      <c r="E23" s="10">
        <f>GETPIVOTDATA("PreTaxCost",Pivots!$D$5,"BillingMonth",B23)</f>
        <v>359.45049232277802</v>
      </c>
      <c r="F23" s="18" t="str">
        <f t="shared" si="1"/>
        <v>98 / 2</v>
      </c>
      <c r="G23" s="10">
        <f t="shared" si="2"/>
        <v>9052</v>
      </c>
      <c r="H23" s="10">
        <f t="shared" si="7"/>
        <v>19757.980480101462</v>
      </c>
      <c r="I23" s="10">
        <f t="shared" si="8"/>
        <v>10346.529987778682</v>
      </c>
      <c r="J23" s="10">
        <f t="shared" si="9"/>
        <v>9411.4504923227778</v>
      </c>
      <c r="K23" s="19" t="str">
        <f t="shared" si="10"/>
        <v>52 / 48</v>
      </c>
      <c r="L23" s="10">
        <f t="shared" si="11"/>
        <v>1953.3110723700192</v>
      </c>
    </row>
    <row r="24" spans="1:12" x14ac:dyDescent="0.25">
      <c r="A24" s="78" t="s">
        <v>136</v>
      </c>
      <c r="B24" s="40">
        <f>EDATE(B23,1)</f>
        <v>46174</v>
      </c>
      <c r="C24" s="14">
        <f t="shared" ref="C24:D29" si="12">C23*(1+GROWTH)</f>
        <v>22145.51738352091</v>
      </c>
      <c r="D24" s="11">
        <f t="shared" si="12"/>
        <v>21778.877881351676</v>
      </c>
      <c r="E24" s="11">
        <f t="shared" ref="E24:E29" si="13">C24-D24</f>
        <v>366.63950216923331</v>
      </c>
      <c r="F24" s="31" t="str">
        <f t="shared" si="1"/>
        <v>98 / 2</v>
      </c>
      <c r="G24" s="11">
        <f t="shared" si="2"/>
        <v>9052</v>
      </c>
      <c r="H24" s="11">
        <f>E24+G24+I24</f>
        <v>20192.206311150891</v>
      </c>
      <c r="I24" s="11">
        <f t="shared" si="8"/>
        <v>10773.566808981657</v>
      </c>
      <c r="J24" s="11">
        <f t="shared" si="9"/>
        <v>9418.6395021692333</v>
      </c>
      <c r="K24" s="32" t="str">
        <f t="shared" si="10"/>
        <v>53 / 47</v>
      </c>
      <c r="L24" s="11">
        <f t="shared" si="11"/>
        <v>1953.3110723700192</v>
      </c>
    </row>
    <row r="25" spans="1:12" x14ac:dyDescent="0.25">
      <c r="A25" s="78"/>
      <c r="B25" s="40">
        <f t="shared" ref="B25:B29" si="14">EDATE(B24,1)</f>
        <v>46204</v>
      </c>
      <c r="C25" s="14">
        <f t="shared" si="12"/>
        <v>22588.427731191328</v>
      </c>
      <c r="D25" s="11">
        <f t="shared" si="12"/>
        <v>22214.455438978712</v>
      </c>
      <c r="E25" s="11">
        <f t="shared" si="13"/>
        <v>373.97229221261659</v>
      </c>
      <c r="F25" s="31" t="str">
        <f t="shared" si="1"/>
        <v>98 / 2</v>
      </c>
      <c r="G25" s="11">
        <f t="shared" si="2"/>
        <v>9052</v>
      </c>
      <c r="H25" s="11">
        <f t="shared" ref="H25:H29" si="15">E25+G25+I25</f>
        <v>20635.116658821309</v>
      </c>
      <c r="I25" s="11">
        <f t="shared" si="8"/>
        <v>11209.144366608693</v>
      </c>
      <c r="J25" s="11">
        <f t="shared" si="9"/>
        <v>9425.9722922126166</v>
      </c>
      <c r="K25" s="32" t="str">
        <f t="shared" si="10"/>
        <v>54 / 46</v>
      </c>
      <c r="L25" s="11">
        <f t="shared" si="11"/>
        <v>1953.3110723700192</v>
      </c>
    </row>
    <row r="26" spans="1:12" x14ac:dyDescent="0.25">
      <c r="A26" s="78"/>
      <c r="B26" s="40">
        <f t="shared" si="14"/>
        <v>46235</v>
      </c>
      <c r="C26" s="14">
        <f t="shared" si="12"/>
        <v>23040.196285815156</v>
      </c>
      <c r="D26" s="11">
        <f t="shared" si="12"/>
        <v>22658.744547758288</v>
      </c>
      <c r="E26" s="11">
        <f t="shared" si="13"/>
        <v>381.45173805686863</v>
      </c>
      <c r="F26" s="31" t="str">
        <f t="shared" si="1"/>
        <v>98 / 2</v>
      </c>
      <c r="G26" s="11">
        <f t="shared" si="2"/>
        <v>9052</v>
      </c>
      <c r="H26" s="11">
        <f t="shared" si="15"/>
        <v>21086.885213445137</v>
      </c>
      <c r="I26" s="11">
        <f t="shared" si="8"/>
        <v>11653.433475388269</v>
      </c>
      <c r="J26" s="11">
        <f t="shared" si="9"/>
        <v>9433.4517380568686</v>
      </c>
      <c r="K26" s="32" t="str">
        <f t="shared" si="10"/>
        <v>55 / 45</v>
      </c>
      <c r="L26" s="11">
        <f t="shared" si="11"/>
        <v>1953.3110723700192</v>
      </c>
    </row>
    <row r="27" spans="1:12" x14ac:dyDescent="0.25">
      <c r="A27" s="78"/>
      <c r="B27" s="40">
        <f t="shared" si="14"/>
        <v>46266</v>
      </c>
      <c r="C27" s="14">
        <f t="shared" si="12"/>
        <v>23501.00021153146</v>
      </c>
      <c r="D27" s="11">
        <f t="shared" si="12"/>
        <v>23111.919438713456</v>
      </c>
      <c r="E27" s="11">
        <f t="shared" si="13"/>
        <v>389.08077281800433</v>
      </c>
      <c r="F27" s="31" t="str">
        <f t="shared" si="1"/>
        <v>98 / 2</v>
      </c>
      <c r="G27" s="11">
        <f t="shared" si="2"/>
        <v>9052</v>
      </c>
      <c r="H27" s="11">
        <f t="shared" si="15"/>
        <v>21547.689139161441</v>
      </c>
      <c r="I27" s="11">
        <f t="shared" si="8"/>
        <v>12106.608366343437</v>
      </c>
      <c r="J27" s="11">
        <f t="shared" si="9"/>
        <v>9441.0807728180043</v>
      </c>
      <c r="K27" s="32" t="str">
        <f t="shared" si="10"/>
        <v>56 / 44</v>
      </c>
      <c r="L27" s="11">
        <f t="shared" si="11"/>
        <v>1953.3110723700192</v>
      </c>
    </row>
    <row r="28" spans="1:12" x14ac:dyDescent="0.25">
      <c r="A28" s="78"/>
      <c r="B28" s="40">
        <f t="shared" si="14"/>
        <v>46296</v>
      </c>
      <c r="C28" s="14">
        <f t="shared" si="12"/>
        <v>23971.020215762088</v>
      </c>
      <c r="D28" s="11">
        <f t="shared" si="12"/>
        <v>23574.157827487725</v>
      </c>
      <c r="E28" s="11">
        <f t="shared" si="13"/>
        <v>396.86238827436318</v>
      </c>
      <c r="F28" s="31" t="str">
        <f t="shared" si="1"/>
        <v>98 / 2</v>
      </c>
      <c r="G28" s="11">
        <f t="shared" si="2"/>
        <v>9052</v>
      </c>
      <c r="H28" s="11">
        <f t="shared" si="15"/>
        <v>22017.709143392069</v>
      </c>
      <c r="I28" s="11">
        <f t="shared" si="8"/>
        <v>12568.846755117705</v>
      </c>
      <c r="J28" s="11">
        <f t="shared" si="9"/>
        <v>9448.8623882743632</v>
      </c>
      <c r="K28" s="32" t="str">
        <f t="shared" si="10"/>
        <v>57 / 43</v>
      </c>
      <c r="L28" s="11">
        <f t="shared" si="11"/>
        <v>1953.3110723700192</v>
      </c>
    </row>
    <row r="29" spans="1:12" x14ac:dyDescent="0.25">
      <c r="A29" s="78"/>
      <c r="B29" s="40">
        <f t="shared" si="14"/>
        <v>46327</v>
      </c>
      <c r="C29" s="14">
        <f t="shared" si="12"/>
        <v>24450.44062007733</v>
      </c>
      <c r="D29" s="11">
        <f t="shared" si="12"/>
        <v>24045.64098403748</v>
      </c>
      <c r="E29" s="11">
        <f t="shared" si="13"/>
        <v>404.79963603985016</v>
      </c>
      <c r="F29" s="31" t="str">
        <f t="shared" si="1"/>
        <v>98 / 2</v>
      </c>
      <c r="G29" s="11">
        <f t="shared" si="2"/>
        <v>9052</v>
      </c>
      <c r="H29" s="11">
        <f t="shared" si="15"/>
        <v>22497.129547707311</v>
      </c>
      <c r="I29" s="11">
        <f t="shared" si="8"/>
        <v>13040.329911667461</v>
      </c>
      <c r="J29" s="11">
        <f t="shared" si="9"/>
        <v>9456.7996360398502</v>
      </c>
      <c r="K29" s="32" t="str">
        <f t="shared" si="10"/>
        <v>58 / 42</v>
      </c>
      <c r="L29" s="11">
        <f t="shared" si="11"/>
        <v>1953.3110723700192</v>
      </c>
    </row>
    <row r="30" spans="1:12" x14ac:dyDescent="0.25">
      <c r="B30" s="7" t="s">
        <v>7</v>
      </c>
      <c r="C30" s="12">
        <f>SUM(C18:C23)</f>
        <v>127058.12278639643</v>
      </c>
      <c r="D30" s="12">
        <f>SUM(D18:D23)</f>
        <v>124928.66212966329</v>
      </c>
      <c r="E30" s="12">
        <f>SUM(E18:E23)</f>
        <v>2129.4606567331284</v>
      </c>
      <c r="F30" s="21" t="str">
        <f t="shared" si="1"/>
        <v>98 / 2</v>
      </c>
      <c r="G30" s="12">
        <f>SUM(G18:G23)</f>
        <v>54312</v>
      </c>
      <c r="H30" s="12">
        <f>SUM(H18:H23)</f>
        <v>115338.25635217631</v>
      </c>
      <c r="I30" s="12">
        <f t="shared" si="8"/>
        <v>58896.795695443172</v>
      </c>
      <c r="J30" s="12">
        <f t="shared" si="9"/>
        <v>56441.460656733128</v>
      </c>
      <c r="K30" s="20" t="str">
        <f t="shared" si="10"/>
        <v>51 / 49</v>
      </c>
      <c r="L30" s="12">
        <f>SUM(L18:L23)</f>
        <v>11719.866434220115</v>
      </c>
    </row>
    <row r="31" spans="1:12" x14ac:dyDescent="0.25">
      <c r="B31" s="7" t="s">
        <v>8</v>
      </c>
      <c r="C31" s="12">
        <f>SUM(C24:C29)</f>
        <v>139696.60244789827</v>
      </c>
      <c r="D31" s="12">
        <f>SUM(D24:D29)</f>
        <v>137383.79611832733</v>
      </c>
      <c r="E31" s="12">
        <f>SUM(E24:E29)</f>
        <v>2312.8063295709362</v>
      </c>
      <c r="F31" s="21" t="str">
        <f t="shared" si="1"/>
        <v>98 / 2</v>
      </c>
      <c r="G31" s="12">
        <f>SUM(G24:G29)</f>
        <v>54312</v>
      </c>
      <c r="H31" s="12">
        <f>SUM(H24:H29)</f>
        <v>127976.73601367816</v>
      </c>
      <c r="I31" s="12">
        <f t="shared" si="8"/>
        <v>71351.929684107206</v>
      </c>
      <c r="J31" s="12">
        <f t="shared" si="9"/>
        <v>56624.806329570936</v>
      </c>
      <c r="K31" s="20" t="str">
        <f t="shared" si="10"/>
        <v>56 / 44</v>
      </c>
      <c r="L31" s="12">
        <f>SUM(L24:L29)</f>
        <v>11719.866434220115</v>
      </c>
    </row>
    <row r="32" spans="1:12" x14ac:dyDescent="0.25">
      <c r="B32" s="8"/>
      <c r="C32" s="1"/>
      <c r="D32" s="1"/>
      <c r="E32" s="1"/>
      <c r="F32" s="1"/>
      <c r="G32" s="1"/>
      <c r="H32" s="1"/>
      <c r="I32" s="1"/>
      <c r="J32" s="1"/>
      <c r="K32" s="1"/>
    </row>
    <row r="33" spans="2:16" x14ac:dyDescent="0.25">
      <c r="B33" s="8"/>
      <c r="C33" s="1"/>
      <c r="D33" s="1"/>
      <c r="E33" s="1"/>
      <c r="F33" s="1"/>
      <c r="G33" s="1"/>
      <c r="H33" s="1"/>
      <c r="I33" s="1"/>
      <c r="J33" s="1"/>
      <c r="K33" s="1"/>
    </row>
    <row r="34" spans="2:16" x14ac:dyDescent="0.25">
      <c r="B34" s="8"/>
      <c r="C34" s="1"/>
      <c r="D34" s="1"/>
      <c r="E34" s="1"/>
      <c r="F34" s="1"/>
      <c r="G34" s="1"/>
      <c r="H34" s="1"/>
      <c r="I34" s="1"/>
      <c r="J34" s="1"/>
      <c r="K34" s="1"/>
    </row>
    <row r="35" spans="2:16" x14ac:dyDescent="0.25">
      <c r="B35" s="8"/>
      <c r="C35" s="1"/>
      <c r="D35" s="1"/>
      <c r="E35" s="1"/>
      <c r="F35" s="1"/>
      <c r="G35" s="1"/>
      <c r="H35" s="1"/>
      <c r="I35" s="1"/>
      <c r="J35" s="1"/>
      <c r="K35" s="1"/>
      <c r="P35" s="15"/>
    </row>
    <row r="36" spans="2:16" x14ac:dyDescent="0.25">
      <c r="B36" s="8"/>
      <c r="C36" s="1"/>
      <c r="D36" s="1"/>
      <c r="E36" s="1"/>
      <c r="F36" s="1"/>
      <c r="G36" s="1"/>
      <c r="H36" s="1"/>
      <c r="I36" s="1"/>
      <c r="J36" s="1"/>
      <c r="K36" s="1"/>
    </row>
    <row r="37" spans="2:16" x14ac:dyDescent="0.25">
      <c r="B37" s="8"/>
      <c r="C37" s="1"/>
      <c r="D37" s="1"/>
      <c r="E37" s="1"/>
      <c r="F37" s="1"/>
      <c r="G37" s="1"/>
      <c r="H37" s="1"/>
      <c r="I37" s="1"/>
      <c r="J37" s="1"/>
      <c r="K37" s="1"/>
    </row>
    <row r="38" spans="2:16" x14ac:dyDescent="0.25">
      <c r="B38" s="8"/>
      <c r="C38" s="1"/>
      <c r="D38" s="1"/>
      <c r="E38" s="1"/>
      <c r="F38" s="1"/>
      <c r="G38" s="1"/>
      <c r="H38" s="1"/>
      <c r="I38" s="1"/>
      <c r="J38" s="1"/>
      <c r="K38" s="1"/>
    </row>
    <row r="39" spans="2:16" x14ac:dyDescent="0.25">
      <c r="B39" s="8"/>
      <c r="C39" s="1"/>
      <c r="D39" s="1"/>
      <c r="E39" s="1"/>
      <c r="F39" s="1"/>
      <c r="G39" s="1"/>
      <c r="H39" s="1"/>
      <c r="I39" s="1"/>
      <c r="J39" s="1"/>
      <c r="K39" s="1"/>
    </row>
    <row r="40" spans="2:16" x14ac:dyDescent="0.25">
      <c r="B40" s="8"/>
      <c r="C40" s="1"/>
      <c r="D40" s="1"/>
      <c r="E40" s="1"/>
      <c r="F40" s="1"/>
      <c r="G40" s="1"/>
      <c r="H40" s="1"/>
      <c r="I40" s="1"/>
      <c r="J40" s="1"/>
      <c r="K40" s="1"/>
    </row>
  </sheetData>
  <sheetProtection sheet="1" objects="1" scenarios="1"/>
  <mergeCells count="8">
    <mergeCell ref="C16:F16"/>
    <mergeCell ref="H16:K16"/>
    <mergeCell ref="D10:E10"/>
    <mergeCell ref="A18:A23"/>
    <mergeCell ref="A24:A29"/>
    <mergeCell ref="D11:E11"/>
    <mergeCell ref="D12:E12"/>
    <mergeCell ref="D13:E13"/>
  </mergeCells>
  <phoneticPr fontId="21" type="noConversion"/>
  <dataValidations count="1">
    <dataValidation type="list" allowBlank="1" showInputMessage="1" showErrorMessage="1" sqref="C12" xr:uid="{EF6D04AE-7EDD-4728-9D60-853EFED91605}">
      <formula1>"12,36"</formula1>
    </dataValidation>
  </dataValidations>
  <hyperlinks>
    <hyperlink ref="C8" location="CURR" display="CURR" xr:uid="{8E70EC4D-5CFC-4CA9-9410-52295ACF6E7A}"/>
    <hyperlink ref="D17" location="CostData!A1" display="PAYG Cost" xr:uid="{7710044F-D2EC-46A3-8145-C8EE4A707586}"/>
    <hyperlink ref="E17" location="CostData!A1" display="RI/SP Cost" xr:uid="{3101B0F7-FD3F-4564-8871-1F2C5668AC51}"/>
    <hyperlink ref="C9" location="PAYGDISC" display="PAYGDISC" xr:uid="{B0371A31-6B5E-4758-8A14-DC6EAF32C16C}"/>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40" r:id="rId3" name="Scroll Bar 16">
              <controlPr defaultSize="0" autoPict="0">
                <anchor moveWithCells="1">
                  <from>
                    <xdr:col>6</xdr:col>
                    <xdr:colOff>209550</xdr:colOff>
                    <xdr:row>11</xdr:row>
                    <xdr:rowOff>57150</xdr:rowOff>
                  </from>
                  <to>
                    <xdr:col>8</xdr:col>
                    <xdr:colOff>752475</xdr:colOff>
                    <xdr:row>12</xdr:row>
                    <xdr:rowOff>133350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C771-3B51-4A56-9BD1-D241FD73DB66}">
  <dimension ref="A1:E201"/>
  <sheetViews>
    <sheetView zoomScale="120" zoomScaleNormal="120" workbookViewId="0">
      <selection activeCell="A33" sqref="A33"/>
    </sheetView>
  </sheetViews>
  <sheetFormatPr defaultRowHeight="15" x14ac:dyDescent="0.25"/>
  <cols>
    <col min="1" max="1" width="37.85546875" customWidth="1"/>
    <col min="2" max="2" width="8.140625" customWidth="1"/>
    <col min="3" max="3" width="8.140625" bestFit="1" customWidth="1"/>
    <col min="4" max="4" width="7.42578125" bestFit="1" customWidth="1"/>
    <col min="5" max="5" width="8.140625" bestFit="1" customWidth="1"/>
    <col min="6" max="6" width="12.28515625" bestFit="1" customWidth="1"/>
  </cols>
  <sheetData>
    <row r="1" spans="1:5" x14ac:dyDescent="0.25">
      <c r="A1" s="8" t="s">
        <v>124</v>
      </c>
    </row>
    <row r="2" spans="1:5" x14ac:dyDescent="0.25">
      <c r="A2" t="s">
        <v>186</v>
      </c>
    </row>
    <row r="3" spans="1:5" x14ac:dyDescent="0.25">
      <c r="A3" t="s">
        <v>164</v>
      </c>
    </row>
    <row r="5" spans="1:5" x14ac:dyDescent="0.25">
      <c r="B5" s="65" t="s">
        <v>134</v>
      </c>
      <c r="C5" s="65"/>
      <c r="D5" s="65"/>
      <c r="E5" s="65"/>
    </row>
    <row r="6" spans="1:5" ht="15.75" x14ac:dyDescent="0.25">
      <c r="A6" t="s">
        <v>20</v>
      </c>
      <c r="B6" s="22" t="s">
        <v>22</v>
      </c>
      <c r="C6" s="22" t="s">
        <v>23</v>
      </c>
      <c r="D6" s="22" t="s">
        <v>24</v>
      </c>
      <c r="E6" s="22" t="s">
        <v>25</v>
      </c>
    </row>
    <row r="7" spans="1:5" x14ac:dyDescent="0.25">
      <c r="A7" t="s">
        <v>44</v>
      </c>
      <c r="B7" s="42">
        <v>0.41</v>
      </c>
      <c r="C7" s="42"/>
      <c r="D7" s="42">
        <v>0.25</v>
      </c>
      <c r="E7" s="42">
        <v>0.46</v>
      </c>
    </row>
    <row r="8" spans="1:5" x14ac:dyDescent="0.25">
      <c r="A8" t="s">
        <v>71</v>
      </c>
      <c r="B8" s="41">
        <v>0.41</v>
      </c>
      <c r="C8" s="41"/>
      <c r="D8" s="41">
        <v>0.25</v>
      </c>
      <c r="E8" s="41">
        <v>0.46</v>
      </c>
    </row>
    <row r="9" spans="1:5" x14ac:dyDescent="0.25">
      <c r="A9" t="s">
        <v>64</v>
      </c>
      <c r="B9" s="42">
        <v>0.41</v>
      </c>
      <c r="C9" s="42">
        <v>0.62</v>
      </c>
      <c r="D9" s="42">
        <v>0.24</v>
      </c>
      <c r="E9" s="42">
        <v>0.45</v>
      </c>
    </row>
    <row r="10" spans="1:5" x14ac:dyDescent="0.25">
      <c r="A10" t="s">
        <v>67</v>
      </c>
      <c r="B10" s="42">
        <v>0.41</v>
      </c>
      <c r="C10" s="42">
        <v>0.62</v>
      </c>
      <c r="D10" s="42">
        <v>0.24</v>
      </c>
      <c r="E10" s="42">
        <v>0.45</v>
      </c>
    </row>
    <row r="11" spans="1:5" x14ac:dyDescent="0.25">
      <c r="A11" t="s">
        <v>220</v>
      </c>
      <c r="B11" s="42">
        <v>0.41</v>
      </c>
      <c r="C11" s="42">
        <v>0.62</v>
      </c>
      <c r="D11" s="42">
        <v>0.24</v>
      </c>
      <c r="E11" s="42">
        <v>0.45</v>
      </c>
    </row>
    <row r="12" spans="1:5" x14ac:dyDescent="0.25">
      <c r="A12" t="s">
        <v>32</v>
      </c>
      <c r="B12" s="42">
        <v>0.41</v>
      </c>
      <c r="C12" s="42"/>
      <c r="D12" s="42">
        <v>0.24</v>
      </c>
      <c r="E12" s="42">
        <v>0.45</v>
      </c>
    </row>
    <row r="13" spans="1:5" x14ac:dyDescent="0.25">
      <c r="A13" t="s">
        <v>86</v>
      </c>
      <c r="B13" s="41">
        <v>0.41</v>
      </c>
      <c r="C13" s="41"/>
      <c r="D13" s="41">
        <v>0.24</v>
      </c>
      <c r="E13" s="41">
        <v>0.45</v>
      </c>
    </row>
    <row r="14" spans="1:5" x14ac:dyDescent="0.25">
      <c r="A14" t="s">
        <v>76</v>
      </c>
      <c r="B14" s="42">
        <v>0.41</v>
      </c>
      <c r="C14" s="42">
        <v>0.62</v>
      </c>
      <c r="D14" s="42">
        <v>0.24</v>
      </c>
      <c r="E14" s="42">
        <v>0.45</v>
      </c>
    </row>
    <row r="15" spans="1:5" x14ac:dyDescent="0.25">
      <c r="A15" t="s">
        <v>89</v>
      </c>
      <c r="B15" s="42">
        <v>0.41</v>
      </c>
      <c r="C15" s="42">
        <v>0.62</v>
      </c>
      <c r="D15" s="42">
        <v>0.24</v>
      </c>
      <c r="E15" s="42">
        <v>0.45</v>
      </c>
    </row>
    <row r="16" spans="1:5" x14ac:dyDescent="0.25">
      <c r="A16" t="s">
        <v>53</v>
      </c>
      <c r="B16" s="42">
        <v>0.41</v>
      </c>
      <c r="C16" s="42">
        <v>0.62</v>
      </c>
      <c r="D16" s="42">
        <v>0.24</v>
      </c>
      <c r="E16" s="42">
        <v>0.45</v>
      </c>
    </row>
    <row r="17" spans="1:5" x14ac:dyDescent="0.25">
      <c r="A17" t="s">
        <v>50</v>
      </c>
      <c r="B17" s="42">
        <v>0.27</v>
      </c>
      <c r="C17" s="42"/>
      <c r="D17" s="42">
        <v>0.24</v>
      </c>
      <c r="E17" s="42">
        <v>0.45</v>
      </c>
    </row>
    <row r="18" spans="1:5" x14ac:dyDescent="0.25">
      <c r="A18" t="s">
        <v>30</v>
      </c>
      <c r="B18" s="41">
        <v>0.41</v>
      </c>
      <c r="C18" s="41">
        <v>0.62</v>
      </c>
      <c r="D18" s="41">
        <v>0.24</v>
      </c>
      <c r="E18" s="41">
        <v>0.45</v>
      </c>
    </row>
    <row r="19" spans="1:5" x14ac:dyDescent="0.25">
      <c r="A19" t="s">
        <v>68</v>
      </c>
      <c r="B19" s="41">
        <v>0.41</v>
      </c>
      <c r="C19" s="41">
        <v>0.62</v>
      </c>
      <c r="D19" s="41">
        <v>0.24</v>
      </c>
      <c r="E19" s="41">
        <v>0.45</v>
      </c>
    </row>
    <row r="20" spans="1:5" x14ac:dyDescent="0.25">
      <c r="A20" t="s">
        <v>46</v>
      </c>
      <c r="B20" s="41">
        <v>0.41</v>
      </c>
      <c r="C20" s="41">
        <v>0.62</v>
      </c>
      <c r="D20" s="41">
        <v>0.24</v>
      </c>
      <c r="E20" s="41">
        <v>0.45</v>
      </c>
    </row>
    <row r="21" spans="1:5" x14ac:dyDescent="0.25">
      <c r="A21" t="s">
        <v>221</v>
      </c>
      <c r="B21" s="42">
        <v>0.41</v>
      </c>
      <c r="C21" s="42">
        <v>0.62</v>
      </c>
      <c r="D21" s="42">
        <v>0.28999999999999998</v>
      </c>
      <c r="E21" s="42">
        <v>0.53</v>
      </c>
    </row>
    <row r="22" spans="1:5" x14ac:dyDescent="0.25">
      <c r="A22" t="s">
        <v>222</v>
      </c>
      <c r="B22" s="42">
        <v>0.41</v>
      </c>
      <c r="C22" s="42">
        <v>0.62</v>
      </c>
      <c r="D22" s="42">
        <v>0.28999999999999998</v>
      </c>
      <c r="E22" s="42">
        <v>0.53</v>
      </c>
    </row>
    <row r="23" spans="1:5" x14ac:dyDescent="0.25">
      <c r="A23" t="s">
        <v>223</v>
      </c>
      <c r="B23" s="42">
        <v>0.41</v>
      </c>
      <c r="C23" s="42">
        <v>0.62</v>
      </c>
      <c r="D23" s="42">
        <v>0.28999999999999998</v>
      </c>
      <c r="E23" s="42">
        <v>0.53</v>
      </c>
    </row>
    <row r="24" spans="1:5" x14ac:dyDescent="0.25">
      <c r="A24" t="s">
        <v>224</v>
      </c>
      <c r="B24" s="42">
        <v>0.41</v>
      </c>
      <c r="C24" s="42">
        <v>0.62</v>
      </c>
      <c r="D24" s="42">
        <v>0.28999999999999998</v>
      </c>
      <c r="E24" s="42">
        <v>0.53</v>
      </c>
    </row>
    <row r="25" spans="1:5" x14ac:dyDescent="0.25">
      <c r="A25" t="s">
        <v>225</v>
      </c>
      <c r="B25" s="42">
        <v>0.41</v>
      </c>
      <c r="C25" s="42">
        <v>0.62</v>
      </c>
      <c r="D25" s="42">
        <v>0.28999999999999998</v>
      </c>
      <c r="E25" s="42">
        <v>0.53</v>
      </c>
    </row>
    <row r="26" spans="1:5" x14ac:dyDescent="0.25">
      <c r="A26" t="s">
        <v>226</v>
      </c>
      <c r="B26" s="42">
        <v>0.41</v>
      </c>
      <c r="C26" s="42">
        <v>0.62</v>
      </c>
      <c r="D26" s="42">
        <v>0.28999999999999998</v>
      </c>
      <c r="E26" s="42">
        <v>0.53</v>
      </c>
    </row>
    <row r="27" spans="1:5" x14ac:dyDescent="0.25">
      <c r="A27" t="s">
        <v>73</v>
      </c>
      <c r="B27" s="41">
        <v>0.33</v>
      </c>
      <c r="C27" s="41">
        <v>0.54</v>
      </c>
      <c r="D27" s="41">
        <v>0.24</v>
      </c>
      <c r="E27" s="41">
        <v>0.45</v>
      </c>
    </row>
    <row r="28" spans="1:5" x14ac:dyDescent="0.25">
      <c r="A28" t="s">
        <v>38</v>
      </c>
      <c r="B28" s="41">
        <v>0.41</v>
      </c>
      <c r="C28" s="41">
        <v>0.62</v>
      </c>
      <c r="D28" s="41">
        <v>0.24</v>
      </c>
      <c r="E28" s="41">
        <v>0.45</v>
      </c>
    </row>
    <row r="29" spans="1:5" x14ac:dyDescent="0.25">
      <c r="A29" t="s">
        <v>112</v>
      </c>
      <c r="B29" s="41">
        <v>0.41</v>
      </c>
      <c r="C29" s="41">
        <v>0.62</v>
      </c>
      <c r="D29" s="41">
        <v>0.24</v>
      </c>
      <c r="E29" s="41">
        <v>0.45</v>
      </c>
    </row>
    <row r="30" spans="1:5" s="24" customFormat="1" ht="15.75" x14ac:dyDescent="0.25">
      <c r="A30" t="s">
        <v>227</v>
      </c>
      <c r="B30" s="42">
        <v>0.41</v>
      </c>
      <c r="C30" s="42">
        <v>0.62</v>
      </c>
      <c r="D30" s="42">
        <v>0.28999999999999998</v>
      </c>
      <c r="E30" s="42">
        <v>0.53</v>
      </c>
    </row>
    <row r="31" spans="1:5" x14ac:dyDescent="0.25">
      <c r="A31" t="s">
        <v>228</v>
      </c>
      <c r="B31" s="42">
        <v>0.41</v>
      </c>
      <c r="C31" s="42">
        <v>0.62</v>
      </c>
      <c r="D31" s="42">
        <v>0.28999999999999998</v>
      </c>
      <c r="E31" s="42">
        <v>0.53</v>
      </c>
    </row>
    <row r="32" spans="1:5" x14ac:dyDescent="0.25">
      <c r="A32" t="s">
        <v>229</v>
      </c>
      <c r="B32" s="42">
        <v>0.33</v>
      </c>
      <c r="C32" s="42">
        <v>0.54</v>
      </c>
      <c r="D32" s="42">
        <v>0.24</v>
      </c>
      <c r="E32" s="42">
        <v>0.45</v>
      </c>
    </row>
    <row r="33" spans="1:5" x14ac:dyDescent="0.25">
      <c r="A33" t="s">
        <v>56</v>
      </c>
      <c r="B33" s="41">
        <v>0.33</v>
      </c>
      <c r="C33" s="41">
        <v>0.54</v>
      </c>
      <c r="D33" s="41">
        <v>0.24</v>
      </c>
      <c r="E33" s="41">
        <v>0.45</v>
      </c>
    </row>
    <row r="34" spans="1:5" x14ac:dyDescent="0.25">
      <c r="A34" t="s">
        <v>36</v>
      </c>
      <c r="B34" s="41">
        <v>0.33</v>
      </c>
      <c r="C34" s="41">
        <v>0.54</v>
      </c>
      <c r="D34" s="41">
        <v>0.24</v>
      </c>
      <c r="E34" s="41">
        <v>0.45</v>
      </c>
    </row>
    <row r="35" spans="1:5" x14ac:dyDescent="0.25">
      <c r="A35" t="s">
        <v>84</v>
      </c>
      <c r="B35" s="41">
        <v>0.33</v>
      </c>
      <c r="C35" s="41">
        <v>0.54</v>
      </c>
      <c r="D35" s="41">
        <v>0.24</v>
      </c>
      <c r="E35" s="41">
        <v>0.45</v>
      </c>
    </row>
    <row r="36" spans="1:5" x14ac:dyDescent="0.25">
      <c r="A36" t="s">
        <v>214</v>
      </c>
      <c r="B36" s="42">
        <v>0.2</v>
      </c>
      <c r="C36" s="42">
        <v>0.4</v>
      </c>
      <c r="D36" s="42">
        <v>0.1</v>
      </c>
      <c r="E36" s="42">
        <v>0.28999999999999998</v>
      </c>
    </row>
    <row r="37" spans="1:5" x14ac:dyDescent="0.25">
      <c r="A37" t="s">
        <v>230</v>
      </c>
      <c r="B37" s="42">
        <v>0.41</v>
      </c>
      <c r="C37" s="42">
        <v>0.62</v>
      </c>
      <c r="D37" s="42">
        <v>0.28999999999999998</v>
      </c>
      <c r="E37" s="42">
        <v>0.53</v>
      </c>
    </row>
    <row r="38" spans="1:5" x14ac:dyDescent="0.25">
      <c r="A38" t="s">
        <v>215</v>
      </c>
      <c r="B38" s="42">
        <v>0.2</v>
      </c>
      <c r="C38" s="42">
        <v>0.4</v>
      </c>
      <c r="D38" s="42">
        <v>0.1</v>
      </c>
      <c r="E38" s="42">
        <v>0.28999999999999998</v>
      </c>
    </row>
    <row r="39" spans="1:5" x14ac:dyDescent="0.25">
      <c r="A39" t="s">
        <v>231</v>
      </c>
      <c r="B39" s="42">
        <v>0.41</v>
      </c>
      <c r="C39" s="42">
        <v>0.62</v>
      </c>
      <c r="D39" s="42">
        <v>0.28999999999999998</v>
      </c>
      <c r="E39" s="42">
        <v>0.53</v>
      </c>
    </row>
    <row r="40" spans="1:5" x14ac:dyDescent="0.25">
      <c r="A40" t="s">
        <v>216</v>
      </c>
      <c r="B40" s="42">
        <v>0.2</v>
      </c>
      <c r="C40" s="42">
        <v>0.4</v>
      </c>
      <c r="D40" s="42">
        <v>0.12</v>
      </c>
      <c r="E40" s="42">
        <v>0.28999999999999998</v>
      </c>
    </row>
    <row r="41" spans="1:5" x14ac:dyDescent="0.25">
      <c r="A41" t="s">
        <v>60</v>
      </c>
      <c r="B41" s="42">
        <v>0.2</v>
      </c>
      <c r="C41" s="42">
        <v>0.4</v>
      </c>
      <c r="D41" s="42">
        <v>0.12</v>
      </c>
      <c r="E41" s="42">
        <v>0.28999999999999998</v>
      </c>
    </row>
    <row r="42" spans="1:5" x14ac:dyDescent="0.25">
      <c r="A42" t="s">
        <v>232</v>
      </c>
      <c r="B42" s="42">
        <v>0.38</v>
      </c>
      <c r="C42" s="42">
        <v>0.61</v>
      </c>
      <c r="D42" s="42">
        <v>0.31</v>
      </c>
      <c r="E42" s="42">
        <v>0.54</v>
      </c>
    </row>
    <row r="43" spans="1:5" x14ac:dyDescent="0.25">
      <c r="A43" t="s">
        <v>233</v>
      </c>
      <c r="B43" s="42">
        <v>0.38</v>
      </c>
      <c r="C43" s="42">
        <v>0.61</v>
      </c>
      <c r="D43" s="42">
        <v>0.31</v>
      </c>
      <c r="E43" s="42">
        <v>0.54</v>
      </c>
    </row>
    <row r="44" spans="1:5" x14ac:dyDescent="0.25">
      <c r="A44" t="s">
        <v>234</v>
      </c>
      <c r="B44" s="42"/>
      <c r="C44" s="42"/>
      <c r="D44" s="42">
        <v>0.17</v>
      </c>
      <c r="E44" s="42">
        <v>0.38</v>
      </c>
    </row>
    <row r="45" spans="1:5" x14ac:dyDescent="0.25">
      <c r="A45" t="s">
        <v>55</v>
      </c>
      <c r="B45" s="42">
        <v>0.2</v>
      </c>
      <c r="C45" s="42">
        <v>0.4</v>
      </c>
      <c r="D45" s="42">
        <v>0.11</v>
      </c>
      <c r="E45" s="42">
        <v>0.28999999999999998</v>
      </c>
    </row>
    <row r="46" spans="1:5" x14ac:dyDescent="0.25">
      <c r="A46" t="s">
        <v>40</v>
      </c>
      <c r="B46" s="41">
        <v>0.41</v>
      </c>
      <c r="C46" s="41">
        <v>0.62</v>
      </c>
      <c r="D46" s="41">
        <v>0.24</v>
      </c>
      <c r="E46" s="41">
        <v>0.45</v>
      </c>
    </row>
    <row r="47" spans="1:5" x14ac:dyDescent="0.25">
      <c r="A47" t="s">
        <v>31</v>
      </c>
      <c r="B47" s="41">
        <v>0.41</v>
      </c>
      <c r="C47" s="41">
        <v>0.62</v>
      </c>
      <c r="D47" s="41">
        <v>0.24</v>
      </c>
      <c r="E47" s="41">
        <v>0.45</v>
      </c>
    </row>
    <row r="48" spans="1:5" x14ac:dyDescent="0.25">
      <c r="A48" t="s">
        <v>65</v>
      </c>
      <c r="B48" s="41">
        <v>0.41</v>
      </c>
      <c r="C48" s="41">
        <v>0.62</v>
      </c>
      <c r="D48" s="41">
        <v>0.24</v>
      </c>
      <c r="E48" s="41">
        <v>0.45</v>
      </c>
    </row>
    <row r="49" spans="1:5" x14ac:dyDescent="0.25">
      <c r="A49" t="s">
        <v>235</v>
      </c>
      <c r="B49" s="42">
        <v>0.38</v>
      </c>
      <c r="C49" s="42">
        <v>0.61</v>
      </c>
      <c r="D49" s="42">
        <v>0.31</v>
      </c>
      <c r="E49" s="42">
        <v>0.54</v>
      </c>
    </row>
    <row r="50" spans="1:5" x14ac:dyDescent="0.25">
      <c r="A50" t="s">
        <v>236</v>
      </c>
      <c r="B50" s="42"/>
      <c r="C50" s="42"/>
      <c r="D50" s="42">
        <v>0.24</v>
      </c>
      <c r="E50" s="42">
        <v>0.46</v>
      </c>
    </row>
    <row r="51" spans="1:5" x14ac:dyDescent="0.25">
      <c r="A51" t="s">
        <v>145</v>
      </c>
      <c r="B51" s="42">
        <v>0.41</v>
      </c>
      <c r="C51" s="42">
        <v>0.62</v>
      </c>
      <c r="D51" s="42">
        <v>0.24</v>
      </c>
      <c r="E51" s="42">
        <v>0.45</v>
      </c>
    </row>
    <row r="52" spans="1:5" x14ac:dyDescent="0.25">
      <c r="A52" t="s">
        <v>51</v>
      </c>
      <c r="B52" s="41">
        <v>0.41</v>
      </c>
      <c r="C52" s="41">
        <v>0.62</v>
      </c>
      <c r="D52" s="41">
        <v>0.24</v>
      </c>
      <c r="E52" s="41">
        <v>0.45</v>
      </c>
    </row>
    <row r="53" spans="1:5" x14ac:dyDescent="0.25">
      <c r="A53" t="s">
        <v>237</v>
      </c>
      <c r="B53" s="42">
        <v>0.41</v>
      </c>
      <c r="C53" s="42">
        <v>0.62</v>
      </c>
      <c r="D53" s="42">
        <v>0.24</v>
      </c>
      <c r="E53" s="42">
        <v>0.45</v>
      </c>
    </row>
    <row r="54" spans="1:5" x14ac:dyDescent="0.25">
      <c r="A54" t="s">
        <v>238</v>
      </c>
      <c r="B54" s="42">
        <v>0.41</v>
      </c>
      <c r="C54" s="42">
        <v>0.64</v>
      </c>
      <c r="D54" s="42">
        <v>0.26</v>
      </c>
      <c r="E54" s="42">
        <v>0.48</v>
      </c>
    </row>
    <row r="55" spans="1:5" x14ac:dyDescent="0.25">
      <c r="A55" t="s">
        <v>70</v>
      </c>
      <c r="B55" s="42">
        <v>0.41</v>
      </c>
      <c r="C55" s="42">
        <v>0.64</v>
      </c>
      <c r="D55" s="42">
        <v>0.26</v>
      </c>
      <c r="E55" s="42">
        <v>0.48</v>
      </c>
    </row>
    <row r="56" spans="1:5" x14ac:dyDescent="0.25">
      <c r="A56" t="s">
        <v>239</v>
      </c>
      <c r="B56" s="42">
        <v>0.38</v>
      </c>
      <c r="C56" s="42">
        <v>0.61</v>
      </c>
      <c r="D56" s="42">
        <v>0.33</v>
      </c>
      <c r="E56" s="42">
        <v>0.56000000000000005</v>
      </c>
    </row>
    <row r="57" spans="1:5" x14ac:dyDescent="0.25">
      <c r="A57" t="s">
        <v>240</v>
      </c>
      <c r="B57" s="42"/>
      <c r="C57" s="42"/>
      <c r="D57" s="42">
        <v>0.26</v>
      </c>
      <c r="E57" s="42">
        <v>0.48</v>
      </c>
    </row>
    <row r="58" spans="1:5" x14ac:dyDescent="0.25">
      <c r="A58" t="s">
        <v>241</v>
      </c>
      <c r="B58" s="42">
        <v>0.41</v>
      </c>
      <c r="C58" s="42">
        <v>0.62</v>
      </c>
      <c r="D58" s="42">
        <v>0.28999999999999998</v>
      </c>
      <c r="E58" s="42">
        <v>0.53</v>
      </c>
    </row>
    <row r="59" spans="1:5" x14ac:dyDescent="0.25">
      <c r="A59" t="s">
        <v>90</v>
      </c>
      <c r="B59" s="42">
        <v>0.41</v>
      </c>
      <c r="C59" s="42">
        <v>0.62</v>
      </c>
      <c r="D59" s="42">
        <v>0.28999999999999998</v>
      </c>
      <c r="E59" s="42">
        <v>0.53</v>
      </c>
    </row>
    <row r="60" spans="1:5" x14ac:dyDescent="0.25">
      <c r="A60" t="s">
        <v>242</v>
      </c>
      <c r="B60" s="42">
        <v>0.38</v>
      </c>
      <c r="C60" s="42">
        <v>0.61</v>
      </c>
      <c r="D60" s="42">
        <v>0.33</v>
      </c>
      <c r="E60" s="42">
        <v>0.56000000000000005</v>
      </c>
    </row>
    <row r="61" spans="1:5" x14ac:dyDescent="0.25">
      <c r="A61" t="s">
        <v>243</v>
      </c>
      <c r="B61" s="42"/>
      <c r="C61" s="42"/>
      <c r="D61" s="42">
        <v>0.28999999999999998</v>
      </c>
      <c r="E61" s="42">
        <v>0.53</v>
      </c>
    </row>
    <row r="62" spans="1:5" x14ac:dyDescent="0.25">
      <c r="A62" t="s">
        <v>244</v>
      </c>
      <c r="B62" s="42">
        <v>0.41</v>
      </c>
      <c r="C62" s="42">
        <v>0.66</v>
      </c>
      <c r="D62" s="42">
        <v>0.25</v>
      </c>
      <c r="E62" s="42">
        <v>0.55000000000000004</v>
      </c>
    </row>
    <row r="63" spans="1:5" x14ac:dyDescent="0.25">
      <c r="A63" t="s">
        <v>245</v>
      </c>
      <c r="B63" s="42">
        <v>0.41</v>
      </c>
      <c r="C63" s="42">
        <v>0.64</v>
      </c>
      <c r="D63" s="42">
        <v>0.26</v>
      </c>
      <c r="E63" s="42">
        <v>0.56999999999999995</v>
      </c>
    </row>
    <row r="64" spans="1:5" x14ac:dyDescent="0.25">
      <c r="A64" t="s">
        <v>246</v>
      </c>
      <c r="B64" s="42">
        <v>0.41</v>
      </c>
      <c r="C64" s="42">
        <v>0.64</v>
      </c>
      <c r="D64" s="42">
        <v>0.26</v>
      </c>
      <c r="E64" s="42">
        <v>0.56999999999999995</v>
      </c>
    </row>
    <row r="65" spans="1:5" x14ac:dyDescent="0.25">
      <c r="A65" t="s">
        <v>247</v>
      </c>
      <c r="B65" s="42">
        <v>0.41</v>
      </c>
      <c r="C65" s="42">
        <v>0.66</v>
      </c>
      <c r="D65" s="42">
        <v>0.25</v>
      </c>
      <c r="E65" s="42">
        <v>0.55000000000000004</v>
      </c>
    </row>
    <row r="66" spans="1:5" x14ac:dyDescent="0.25">
      <c r="A66" t="s">
        <v>248</v>
      </c>
      <c r="B66" s="42">
        <v>0.41</v>
      </c>
      <c r="C66" s="42">
        <v>0.62</v>
      </c>
      <c r="D66" s="42">
        <v>0.24</v>
      </c>
      <c r="E66" s="42">
        <v>0.45</v>
      </c>
    </row>
    <row r="67" spans="1:5" x14ac:dyDescent="0.25">
      <c r="A67" t="s">
        <v>249</v>
      </c>
      <c r="B67" s="42">
        <v>0.41</v>
      </c>
      <c r="C67" s="42">
        <v>0.62</v>
      </c>
      <c r="D67" s="42">
        <v>0.32</v>
      </c>
      <c r="E67" s="42">
        <v>0.53</v>
      </c>
    </row>
    <row r="68" spans="1:5" x14ac:dyDescent="0.25">
      <c r="A68" t="s">
        <v>250</v>
      </c>
      <c r="B68" s="42">
        <v>0.41</v>
      </c>
      <c r="C68" s="42">
        <v>0.62</v>
      </c>
      <c r="D68" s="42">
        <v>0.26</v>
      </c>
      <c r="E68" s="42">
        <v>0.48</v>
      </c>
    </row>
    <row r="69" spans="1:5" x14ac:dyDescent="0.25">
      <c r="A69" t="s">
        <v>251</v>
      </c>
      <c r="B69" s="42">
        <v>0.41</v>
      </c>
      <c r="C69" s="42">
        <v>0.62</v>
      </c>
      <c r="D69" s="42">
        <v>0.32</v>
      </c>
      <c r="E69" s="42">
        <v>0.53</v>
      </c>
    </row>
    <row r="70" spans="1:5" x14ac:dyDescent="0.25">
      <c r="A70" t="s">
        <v>252</v>
      </c>
      <c r="B70" s="42">
        <v>0.41</v>
      </c>
      <c r="C70" s="42">
        <v>0.62</v>
      </c>
      <c r="D70" s="42">
        <v>0.26</v>
      </c>
      <c r="E70" s="42">
        <v>0.48</v>
      </c>
    </row>
    <row r="71" spans="1:5" x14ac:dyDescent="0.25">
      <c r="A71" t="s">
        <v>253</v>
      </c>
      <c r="B71" s="42">
        <v>0.41</v>
      </c>
      <c r="C71" s="42">
        <v>0.62</v>
      </c>
      <c r="D71" s="42">
        <v>0.32</v>
      </c>
      <c r="E71" s="42">
        <v>0.53</v>
      </c>
    </row>
    <row r="72" spans="1:5" x14ac:dyDescent="0.25">
      <c r="A72" t="s">
        <v>254</v>
      </c>
      <c r="B72" s="42">
        <v>0.41</v>
      </c>
      <c r="C72" s="42">
        <v>0.62</v>
      </c>
      <c r="D72" s="42">
        <v>0.28999999999999998</v>
      </c>
      <c r="E72" s="42">
        <v>0.53</v>
      </c>
    </row>
    <row r="73" spans="1:5" x14ac:dyDescent="0.25">
      <c r="A73" t="s">
        <v>255</v>
      </c>
      <c r="B73" s="42">
        <v>0.41</v>
      </c>
      <c r="C73" s="42">
        <v>0.62</v>
      </c>
      <c r="D73" s="42">
        <v>0.32</v>
      </c>
      <c r="E73" s="42">
        <v>0.53</v>
      </c>
    </row>
    <row r="74" spans="1:5" x14ac:dyDescent="0.25">
      <c r="A74" t="s">
        <v>49</v>
      </c>
      <c r="B74" s="41">
        <v>0.4</v>
      </c>
      <c r="C74" s="41">
        <v>0.59</v>
      </c>
      <c r="D74" s="41">
        <v>0.24</v>
      </c>
      <c r="E74" s="41">
        <v>0.45</v>
      </c>
    </row>
    <row r="75" spans="1:5" x14ac:dyDescent="0.25">
      <c r="A75" t="s">
        <v>81</v>
      </c>
      <c r="B75" s="41">
        <v>0.36</v>
      </c>
      <c r="C75" s="41">
        <v>0.56000000000000005</v>
      </c>
      <c r="D75" s="41">
        <v>0.24</v>
      </c>
      <c r="E75" s="41">
        <v>0.45</v>
      </c>
    </row>
    <row r="76" spans="1:5" x14ac:dyDescent="0.25">
      <c r="A76" t="s">
        <v>43</v>
      </c>
      <c r="B76" s="41">
        <v>0.41</v>
      </c>
      <c r="C76" s="41">
        <v>0.62</v>
      </c>
      <c r="D76" s="41">
        <v>0.24</v>
      </c>
      <c r="E76" s="41">
        <v>0.45</v>
      </c>
    </row>
    <row r="77" spans="1:5" x14ac:dyDescent="0.25">
      <c r="A77" t="s">
        <v>37</v>
      </c>
      <c r="B77" s="41">
        <v>0.43</v>
      </c>
      <c r="C77" s="41">
        <v>0.63</v>
      </c>
      <c r="D77" s="41">
        <v>0.24</v>
      </c>
      <c r="E77" s="41">
        <v>0.45</v>
      </c>
    </row>
    <row r="78" spans="1:5" x14ac:dyDescent="0.25">
      <c r="A78" t="s">
        <v>33</v>
      </c>
      <c r="B78" s="41">
        <v>0.43</v>
      </c>
      <c r="C78" s="41">
        <v>0.63</v>
      </c>
      <c r="D78" s="41">
        <v>0.24</v>
      </c>
      <c r="E78" s="41">
        <v>0.45</v>
      </c>
    </row>
    <row r="79" spans="1:5" x14ac:dyDescent="0.25">
      <c r="A79" t="s">
        <v>256</v>
      </c>
      <c r="B79" s="42">
        <v>0.38</v>
      </c>
      <c r="C79" s="42">
        <v>0.61</v>
      </c>
      <c r="D79" s="42">
        <v>0.31</v>
      </c>
      <c r="E79" s="42">
        <v>0.54</v>
      </c>
    </row>
    <row r="80" spans="1:5" x14ac:dyDescent="0.25">
      <c r="A80" t="s">
        <v>257</v>
      </c>
      <c r="B80" s="42"/>
      <c r="C80" s="42"/>
      <c r="D80" s="42">
        <v>0.28999999999999998</v>
      </c>
      <c r="E80" s="42">
        <v>0.53</v>
      </c>
    </row>
    <row r="81" spans="1:5" x14ac:dyDescent="0.25">
      <c r="A81" t="s">
        <v>258</v>
      </c>
      <c r="B81" s="42">
        <v>0.39</v>
      </c>
      <c r="C81" s="42"/>
      <c r="D81" s="42">
        <v>0.24</v>
      </c>
      <c r="E81" s="42">
        <v>0.45</v>
      </c>
    </row>
    <row r="82" spans="1:5" x14ac:dyDescent="0.25">
      <c r="A82" t="s">
        <v>74</v>
      </c>
      <c r="B82" s="41">
        <v>0.4</v>
      </c>
      <c r="C82" s="41"/>
      <c r="D82" s="41">
        <v>0.24</v>
      </c>
      <c r="E82" s="41">
        <v>0.45</v>
      </c>
    </row>
    <row r="83" spans="1:5" x14ac:dyDescent="0.25">
      <c r="A83" t="s">
        <v>28</v>
      </c>
      <c r="B83" s="41">
        <v>0.4</v>
      </c>
      <c r="C83" s="41"/>
      <c r="D83" s="41">
        <v>0.24</v>
      </c>
      <c r="E83" s="41">
        <v>0.45</v>
      </c>
    </row>
    <row r="84" spans="1:5" x14ac:dyDescent="0.25">
      <c r="A84" t="s">
        <v>54</v>
      </c>
      <c r="B84" s="41">
        <v>0.4</v>
      </c>
      <c r="C84" s="41"/>
      <c r="D84" s="41">
        <v>0.24</v>
      </c>
      <c r="E84" s="41">
        <v>0.45</v>
      </c>
    </row>
    <row r="85" spans="1:5" x14ac:dyDescent="0.25">
      <c r="A85" t="s">
        <v>259</v>
      </c>
      <c r="B85" s="42">
        <v>0.36</v>
      </c>
      <c r="C85" s="42">
        <v>0.56000000000000005</v>
      </c>
      <c r="D85" s="42">
        <v>0.24</v>
      </c>
      <c r="E85" s="42">
        <v>0.45</v>
      </c>
    </row>
    <row r="86" spans="1:5" x14ac:dyDescent="0.25">
      <c r="A86" t="s">
        <v>26</v>
      </c>
      <c r="B86" s="41">
        <v>0.36</v>
      </c>
      <c r="C86" s="41">
        <v>0.56000000000000005</v>
      </c>
      <c r="D86" s="41">
        <v>0.24</v>
      </c>
      <c r="E86" s="41">
        <v>0.45</v>
      </c>
    </row>
    <row r="87" spans="1:5" x14ac:dyDescent="0.25">
      <c r="A87" t="s">
        <v>45</v>
      </c>
      <c r="B87" s="41">
        <v>0.36</v>
      </c>
      <c r="C87" s="41">
        <v>0.56000000000000005</v>
      </c>
      <c r="D87" s="41">
        <v>0.24</v>
      </c>
      <c r="E87" s="41">
        <v>0.45</v>
      </c>
    </row>
    <row r="88" spans="1:5" x14ac:dyDescent="0.25">
      <c r="A88" t="s">
        <v>52</v>
      </c>
      <c r="B88" s="42">
        <v>0.41</v>
      </c>
      <c r="C88" s="42">
        <v>0.62</v>
      </c>
      <c r="D88" s="42">
        <v>0.24</v>
      </c>
      <c r="E88" s="42">
        <v>0.45</v>
      </c>
    </row>
    <row r="89" spans="1:5" x14ac:dyDescent="0.25">
      <c r="A89" t="s">
        <v>62</v>
      </c>
      <c r="B89" s="42">
        <v>0.43</v>
      </c>
      <c r="C89" s="42">
        <v>0.63</v>
      </c>
      <c r="D89" s="42">
        <v>0.24</v>
      </c>
      <c r="E89" s="42">
        <v>0.45</v>
      </c>
    </row>
    <row r="90" spans="1:5" x14ac:dyDescent="0.25">
      <c r="A90" t="s">
        <v>41</v>
      </c>
      <c r="B90" s="41">
        <v>0.41</v>
      </c>
      <c r="C90" s="41">
        <v>0.62</v>
      </c>
      <c r="D90" s="41">
        <v>0.32</v>
      </c>
      <c r="E90" s="41">
        <v>0.52</v>
      </c>
    </row>
    <row r="91" spans="1:5" x14ac:dyDescent="0.25">
      <c r="A91" t="s">
        <v>77</v>
      </c>
      <c r="B91" s="41">
        <v>0.41</v>
      </c>
      <c r="C91" s="41">
        <v>0.62</v>
      </c>
      <c r="D91" s="41">
        <v>0.32</v>
      </c>
      <c r="E91" s="41">
        <v>0.52</v>
      </c>
    </row>
    <row r="92" spans="1:5" x14ac:dyDescent="0.25">
      <c r="A92" t="s">
        <v>260</v>
      </c>
      <c r="B92" s="42">
        <v>0.41</v>
      </c>
      <c r="C92" s="42">
        <v>0.62</v>
      </c>
      <c r="D92" s="42">
        <v>0.32</v>
      </c>
      <c r="E92" s="42">
        <v>0.53</v>
      </c>
    </row>
    <row r="93" spans="1:5" x14ac:dyDescent="0.25">
      <c r="A93" t="s">
        <v>261</v>
      </c>
      <c r="B93" s="42">
        <v>0.41</v>
      </c>
      <c r="C93" s="42">
        <v>0.62</v>
      </c>
      <c r="D93" s="42">
        <v>0.32</v>
      </c>
      <c r="E93" s="42">
        <v>0.53</v>
      </c>
    </row>
    <row r="94" spans="1:5" x14ac:dyDescent="0.25">
      <c r="A94" t="s">
        <v>262</v>
      </c>
      <c r="B94" s="42">
        <v>0.4</v>
      </c>
      <c r="C94" s="42">
        <v>0.6</v>
      </c>
      <c r="D94" s="42">
        <v>0.32</v>
      </c>
      <c r="E94" s="42">
        <v>0.53</v>
      </c>
    </row>
    <row r="95" spans="1:5" x14ac:dyDescent="0.25">
      <c r="A95" t="s">
        <v>91</v>
      </c>
      <c r="B95" s="42">
        <v>0.41</v>
      </c>
      <c r="C95" s="42">
        <v>0.62</v>
      </c>
      <c r="D95" s="42">
        <v>0.32</v>
      </c>
      <c r="E95" s="42">
        <v>0.53</v>
      </c>
    </row>
    <row r="96" spans="1:5" x14ac:dyDescent="0.25">
      <c r="A96" t="s">
        <v>82</v>
      </c>
      <c r="B96" s="42">
        <v>0.41</v>
      </c>
      <c r="C96" s="42">
        <v>0.62</v>
      </c>
      <c r="D96" s="42">
        <v>0.32</v>
      </c>
      <c r="E96" s="42">
        <v>0.53</v>
      </c>
    </row>
    <row r="97" spans="1:5" x14ac:dyDescent="0.25">
      <c r="A97" t="s">
        <v>263</v>
      </c>
      <c r="B97" s="42">
        <v>0.41</v>
      </c>
      <c r="C97" s="42">
        <v>0.62</v>
      </c>
      <c r="D97" s="42">
        <v>0.32</v>
      </c>
      <c r="E97" s="42">
        <v>0.53</v>
      </c>
    </row>
    <row r="98" spans="1:5" x14ac:dyDescent="0.25">
      <c r="A98" t="s">
        <v>264</v>
      </c>
      <c r="B98" s="42">
        <v>0.41</v>
      </c>
      <c r="C98" s="42">
        <v>0.62</v>
      </c>
      <c r="D98" s="42">
        <v>0.32</v>
      </c>
      <c r="E98" s="42">
        <v>0.53</v>
      </c>
    </row>
    <row r="99" spans="1:5" x14ac:dyDescent="0.25">
      <c r="A99" t="s">
        <v>265</v>
      </c>
      <c r="B99" s="42">
        <v>0.41</v>
      </c>
      <c r="C99" s="42">
        <v>0.61</v>
      </c>
      <c r="D99" s="42">
        <v>0.32</v>
      </c>
      <c r="E99" s="42">
        <v>0.53</v>
      </c>
    </row>
    <row r="100" spans="1:5" x14ac:dyDescent="0.25">
      <c r="A100" t="s">
        <v>92</v>
      </c>
      <c r="B100" s="42">
        <v>0.41</v>
      </c>
      <c r="C100" s="42">
        <v>0.61</v>
      </c>
      <c r="D100" s="42">
        <v>0.32</v>
      </c>
      <c r="E100" s="42">
        <v>0.53</v>
      </c>
    </row>
    <row r="101" spans="1:5" x14ac:dyDescent="0.25">
      <c r="A101" t="s">
        <v>79</v>
      </c>
      <c r="B101" s="42">
        <v>0.41</v>
      </c>
      <c r="C101" s="42">
        <v>0.62</v>
      </c>
      <c r="D101" s="42">
        <v>0.32</v>
      </c>
      <c r="E101" s="42">
        <v>0.56999999999999995</v>
      </c>
    </row>
    <row r="102" spans="1:5" x14ac:dyDescent="0.25">
      <c r="A102" t="s">
        <v>78</v>
      </c>
      <c r="B102" s="42">
        <v>0.41</v>
      </c>
      <c r="C102" s="42">
        <v>0.62</v>
      </c>
      <c r="D102" s="42">
        <v>0.32</v>
      </c>
      <c r="E102" s="42">
        <v>0.56999999999999995</v>
      </c>
    </row>
    <row r="103" spans="1:5" x14ac:dyDescent="0.25">
      <c r="A103" t="s">
        <v>266</v>
      </c>
      <c r="B103" s="42">
        <v>0.41</v>
      </c>
      <c r="C103" s="42">
        <v>0.64</v>
      </c>
      <c r="D103" s="42">
        <v>0.31</v>
      </c>
      <c r="E103" s="42">
        <v>0.56000000000000005</v>
      </c>
    </row>
    <row r="104" spans="1:5" x14ac:dyDescent="0.25">
      <c r="A104" t="s">
        <v>267</v>
      </c>
      <c r="B104" s="42">
        <v>0.41</v>
      </c>
      <c r="C104" s="42">
        <v>0.65</v>
      </c>
      <c r="D104" s="42">
        <v>0.32</v>
      </c>
      <c r="E104" s="42">
        <v>0.56999999999999995</v>
      </c>
    </row>
    <row r="105" spans="1:5" x14ac:dyDescent="0.25">
      <c r="A105" t="s">
        <v>268</v>
      </c>
      <c r="B105" s="42">
        <v>0.41</v>
      </c>
      <c r="C105" s="42">
        <v>0.64</v>
      </c>
      <c r="D105" s="42">
        <v>0.32</v>
      </c>
      <c r="E105" s="42">
        <v>0.56999999999999995</v>
      </c>
    </row>
    <row r="106" spans="1:5" x14ac:dyDescent="0.25">
      <c r="A106" t="s">
        <v>217</v>
      </c>
      <c r="B106" s="42">
        <v>0.2</v>
      </c>
      <c r="C106" s="42">
        <v>0.4</v>
      </c>
      <c r="D106" s="42">
        <v>0.15</v>
      </c>
      <c r="E106" s="42">
        <v>0.31</v>
      </c>
    </row>
    <row r="107" spans="1:5" x14ac:dyDescent="0.25">
      <c r="A107" t="s">
        <v>269</v>
      </c>
      <c r="B107" s="42">
        <v>0.41</v>
      </c>
      <c r="C107" s="42">
        <v>0.62</v>
      </c>
      <c r="D107" s="42">
        <v>0.32</v>
      </c>
      <c r="E107" s="42">
        <v>0.53</v>
      </c>
    </row>
    <row r="108" spans="1:5" x14ac:dyDescent="0.25">
      <c r="A108" t="s">
        <v>218</v>
      </c>
      <c r="B108" s="42">
        <v>0.2</v>
      </c>
      <c r="C108" s="42">
        <v>0.4</v>
      </c>
      <c r="D108" s="42">
        <v>0.16</v>
      </c>
      <c r="E108" s="42">
        <v>0.31</v>
      </c>
    </row>
    <row r="109" spans="1:5" x14ac:dyDescent="0.25">
      <c r="A109" t="s">
        <v>270</v>
      </c>
      <c r="B109" s="42">
        <v>0.41</v>
      </c>
      <c r="C109" s="42">
        <v>0.62</v>
      </c>
      <c r="D109" s="42">
        <v>0.32</v>
      </c>
      <c r="E109" s="42">
        <v>0.53</v>
      </c>
    </row>
    <row r="110" spans="1:5" x14ac:dyDescent="0.25">
      <c r="A110" t="s">
        <v>271</v>
      </c>
      <c r="B110" s="42">
        <v>0.38</v>
      </c>
      <c r="C110" s="42">
        <v>0.61</v>
      </c>
      <c r="D110" s="42">
        <v>0.32</v>
      </c>
      <c r="E110" s="42">
        <v>0.53</v>
      </c>
    </row>
    <row r="111" spans="1:5" x14ac:dyDescent="0.25">
      <c r="A111" t="s">
        <v>272</v>
      </c>
      <c r="B111" s="42">
        <v>0.38</v>
      </c>
      <c r="C111" s="42">
        <v>0.61</v>
      </c>
      <c r="D111" s="42">
        <v>0.32</v>
      </c>
      <c r="E111" s="42">
        <v>0.53</v>
      </c>
    </row>
    <row r="112" spans="1:5" x14ac:dyDescent="0.25">
      <c r="A112" t="s">
        <v>58</v>
      </c>
      <c r="B112" s="42">
        <v>0.41</v>
      </c>
      <c r="C112" s="42">
        <v>0.62</v>
      </c>
      <c r="D112" s="42">
        <v>0.31</v>
      </c>
      <c r="E112" s="42">
        <v>0.52</v>
      </c>
    </row>
    <row r="113" spans="1:5" x14ac:dyDescent="0.25">
      <c r="A113" t="s">
        <v>66</v>
      </c>
      <c r="B113" s="42">
        <v>0.41</v>
      </c>
      <c r="C113" s="42">
        <v>0.62</v>
      </c>
      <c r="D113" s="42">
        <v>0.31</v>
      </c>
      <c r="E113" s="42">
        <v>0.52</v>
      </c>
    </row>
    <row r="114" spans="1:5" x14ac:dyDescent="0.25">
      <c r="A114" t="s">
        <v>63</v>
      </c>
      <c r="B114" s="42">
        <v>0.41</v>
      </c>
      <c r="C114" s="42">
        <v>0.62</v>
      </c>
      <c r="D114" s="42">
        <v>0.31</v>
      </c>
      <c r="E114" s="42">
        <v>0.52</v>
      </c>
    </row>
    <row r="115" spans="1:5" x14ac:dyDescent="0.25">
      <c r="A115" t="s">
        <v>57</v>
      </c>
      <c r="B115" s="42">
        <v>0.41</v>
      </c>
      <c r="C115" s="42">
        <v>0.62</v>
      </c>
      <c r="D115" s="42">
        <v>0.31</v>
      </c>
      <c r="E115" s="42">
        <v>0.52</v>
      </c>
    </row>
    <row r="116" spans="1:5" x14ac:dyDescent="0.25">
      <c r="A116" t="s">
        <v>273</v>
      </c>
      <c r="B116" s="42">
        <v>0.38</v>
      </c>
      <c r="C116" s="42">
        <v>0.61</v>
      </c>
      <c r="D116" s="42">
        <v>0.32</v>
      </c>
      <c r="E116" s="42">
        <v>0.53</v>
      </c>
    </row>
    <row r="117" spans="1:5" x14ac:dyDescent="0.25">
      <c r="A117" t="s">
        <v>274</v>
      </c>
      <c r="B117" s="42"/>
      <c r="C117" s="42"/>
      <c r="D117" s="42">
        <v>0.31</v>
      </c>
      <c r="E117" s="42">
        <v>0.52</v>
      </c>
    </row>
    <row r="118" spans="1:5" x14ac:dyDescent="0.25">
      <c r="A118" t="s">
        <v>39</v>
      </c>
      <c r="B118" s="41">
        <v>0.41</v>
      </c>
      <c r="C118" s="41">
        <v>0.62</v>
      </c>
      <c r="D118" s="41">
        <v>0.31</v>
      </c>
      <c r="E118" s="41">
        <v>0.52</v>
      </c>
    </row>
    <row r="119" spans="1:5" x14ac:dyDescent="0.25">
      <c r="A119" t="s">
        <v>88</v>
      </c>
      <c r="B119" s="42">
        <v>0.41</v>
      </c>
      <c r="C119" s="42">
        <v>0.62</v>
      </c>
      <c r="D119" s="42">
        <v>0.32</v>
      </c>
      <c r="E119" s="42">
        <v>0.52</v>
      </c>
    </row>
    <row r="120" spans="1:5" x14ac:dyDescent="0.25">
      <c r="A120" t="s">
        <v>275</v>
      </c>
      <c r="B120" s="42">
        <v>0.31</v>
      </c>
      <c r="C120" s="42">
        <v>0.31</v>
      </c>
      <c r="D120" s="42">
        <v>0.31</v>
      </c>
      <c r="E120" s="42">
        <v>0.56000000000000005</v>
      </c>
    </row>
    <row r="121" spans="1:5" x14ac:dyDescent="0.25">
      <c r="A121" t="s">
        <v>276</v>
      </c>
      <c r="B121" s="42">
        <v>0.41</v>
      </c>
      <c r="C121" s="42">
        <v>0.63</v>
      </c>
      <c r="D121" s="42">
        <v>0.31</v>
      </c>
      <c r="E121" s="42">
        <v>0.56999999999999995</v>
      </c>
    </row>
    <row r="122" spans="1:5" x14ac:dyDescent="0.25">
      <c r="A122" t="s">
        <v>277</v>
      </c>
      <c r="B122" s="42">
        <v>0.41</v>
      </c>
      <c r="C122" s="42">
        <v>0.62</v>
      </c>
      <c r="D122" s="42">
        <v>0.32</v>
      </c>
      <c r="E122" s="42">
        <v>0.52</v>
      </c>
    </row>
    <row r="123" spans="1:5" x14ac:dyDescent="0.25">
      <c r="A123" t="s">
        <v>278</v>
      </c>
      <c r="B123" s="42">
        <v>0.41</v>
      </c>
      <c r="C123" s="42">
        <v>0.62</v>
      </c>
      <c r="D123" s="42">
        <v>0.33</v>
      </c>
      <c r="E123" s="42">
        <v>0.52</v>
      </c>
    </row>
    <row r="124" spans="1:5" x14ac:dyDescent="0.25">
      <c r="A124" t="s">
        <v>279</v>
      </c>
      <c r="B124" s="42">
        <v>0.41</v>
      </c>
      <c r="C124" s="42">
        <v>0.62</v>
      </c>
      <c r="D124" s="42">
        <v>0.32</v>
      </c>
      <c r="E124" s="42">
        <v>0.53</v>
      </c>
    </row>
    <row r="125" spans="1:5" x14ac:dyDescent="0.25">
      <c r="A125" t="s">
        <v>95</v>
      </c>
      <c r="B125" s="42">
        <v>0.41</v>
      </c>
      <c r="C125" s="42">
        <v>0.62</v>
      </c>
      <c r="D125" s="42">
        <v>0.32</v>
      </c>
      <c r="E125" s="42">
        <v>0.53</v>
      </c>
    </row>
    <row r="126" spans="1:5" x14ac:dyDescent="0.25">
      <c r="A126" t="s">
        <v>83</v>
      </c>
      <c r="B126" s="42">
        <v>0.41</v>
      </c>
      <c r="C126" s="42">
        <v>0.62</v>
      </c>
      <c r="D126" s="42">
        <v>0.32</v>
      </c>
      <c r="E126" s="42">
        <v>0.53</v>
      </c>
    </row>
    <row r="127" spans="1:5" x14ac:dyDescent="0.25">
      <c r="A127" t="s">
        <v>87</v>
      </c>
      <c r="B127" s="42">
        <v>0.42</v>
      </c>
      <c r="C127" s="42">
        <v>0.63</v>
      </c>
      <c r="D127" s="42">
        <v>0.32</v>
      </c>
      <c r="E127" s="42">
        <v>0.53</v>
      </c>
    </row>
    <row r="128" spans="1:5" x14ac:dyDescent="0.25">
      <c r="A128" t="s">
        <v>280</v>
      </c>
      <c r="B128" s="42">
        <v>0.38</v>
      </c>
      <c r="C128" s="42">
        <v>0.61</v>
      </c>
      <c r="D128" s="42">
        <v>0.32</v>
      </c>
      <c r="E128" s="42">
        <v>0.53</v>
      </c>
    </row>
    <row r="129" spans="1:5" x14ac:dyDescent="0.25">
      <c r="A129" t="s">
        <v>281</v>
      </c>
      <c r="B129" s="42"/>
      <c r="C129" s="42"/>
      <c r="D129" s="42">
        <v>0.32</v>
      </c>
      <c r="E129" s="42">
        <v>0.53</v>
      </c>
    </row>
    <row r="130" spans="1:5" x14ac:dyDescent="0.25">
      <c r="A130" t="s">
        <v>282</v>
      </c>
      <c r="B130" s="42">
        <v>0.41</v>
      </c>
      <c r="C130" s="42">
        <v>0.62</v>
      </c>
      <c r="D130" s="42">
        <v>0.24</v>
      </c>
      <c r="E130" s="42">
        <v>0.45</v>
      </c>
    </row>
    <row r="131" spans="1:5" x14ac:dyDescent="0.25">
      <c r="A131" t="s">
        <v>27</v>
      </c>
      <c r="B131" s="41">
        <v>0.41</v>
      </c>
      <c r="C131" s="41">
        <v>0.62</v>
      </c>
      <c r="D131" s="41">
        <v>0.24</v>
      </c>
      <c r="E131" s="41">
        <v>0.45</v>
      </c>
    </row>
    <row r="132" spans="1:5" x14ac:dyDescent="0.25">
      <c r="A132" t="s">
        <v>47</v>
      </c>
      <c r="B132" s="41">
        <v>0.41</v>
      </c>
      <c r="C132" s="41">
        <v>0.62</v>
      </c>
      <c r="D132" s="41">
        <v>0.24</v>
      </c>
      <c r="E132" s="41">
        <v>0.45</v>
      </c>
    </row>
    <row r="133" spans="1:5" x14ac:dyDescent="0.25">
      <c r="A133" t="s">
        <v>283</v>
      </c>
      <c r="B133" s="42">
        <v>0.41</v>
      </c>
      <c r="C133" s="42">
        <v>0.62</v>
      </c>
      <c r="D133" s="42">
        <v>0.32</v>
      </c>
      <c r="E133" s="42">
        <v>0.53</v>
      </c>
    </row>
    <row r="134" spans="1:5" x14ac:dyDescent="0.25">
      <c r="A134" t="s">
        <v>284</v>
      </c>
      <c r="B134" s="42">
        <v>0.42</v>
      </c>
      <c r="C134" s="42">
        <v>0.63</v>
      </c>
      <c r="D134" s="42">
        <v>0.32</v>
      </c>
      <c r="E134" s="42">
        <v>0.53</v>
      </c>
    </row>
    <row r="135" spans="1:5" x14ac:dyDescent="0.25">
      <c r="A135" t="s">
        <v>285</v>
      </c>
      <c r="B135" s="42">
        <v>0.27</v>
      </c>
      <c r="C135" s="42"/>
      <c r="D135" s="42">
        <v>0.24</v>
      </c>
      <c r="E135" s="42">
        <v>0.45</v>
      </c>
    </row>
    <row r="136" spans="1:5" x14ac:dyDescent="0.25">
      <c r="A136" t="s">
        <v>35</v>
      </c>
      <c r="B136" s="41">
        <v>0.27</v>
      </c>
      <c r="C136" s="41">
        <v>0.51</v>
      </c>
      <c r="D136" s="41">
        <v>0.24</v>
      </c>
      <c r="E136" s="41">
        <v>0.45</v>
      </c>
    </row>
    <row r="137" spans="1:5" x14ac:dyDescent="0.25">
      <c r="A137" t="s">
        <v>286</v>
      </c>
      <c r="B137" s="42">
        <v>0.38</v>
      </c>
      <c r="C137" s="42">
        <v>0.61</v>
      </c>
      <c r="D137" s="42">
        <v>0.28999999999999998</v>
      </c>
      <c r="E137" s="42">
        <v>0.53</v>
      </c>
    </row>
    <row r="138" spans="1:5" x14ac:dyDescent="0.25">
      <c r="A138" t="s">
        <v>287</v>
      </c>
      <c r="B138" s="42">
        <v>0.38</v>
      </c>
      <c r="C138" s="42">
        <v>0.6</v>
      </c>
      <c r="D138" s="42">
        <v>0.28999999999999998</v>
      </c>
      <c r="E138" s="42">
        <v>0.53</v>
      </c>
    </row>
    <row r="139" spans="1:5" x14ac:dyDescent="0.25">
      <c r="A139" t="s">
        <v>288</v>
      </c>
      <c r="B139" s="42">
        <v>0.38</v>
      </c>
      <c r="C139" s="42">
        <v>0.6</v>
      </c>
      <c r="D139" s="42">
        <v>0.28999999999999998</v>
      </c>
      <c r="E139" s="42">
        <v>0.53</v>
      </c>
    </row>
    <row r="140" spans="1:5" x14ac:dyDescent="0.25">
      <c r="A140" t="s">
        <v>289</v>
      </c>
      <c r="B140" s="42">
        <v>0.38</v>
      </c>
      <c r="C140" s="42">
        <v>0.6</v>
      </c>
      <c r="D140" s="42">
        <v>0.28999999999999998</v>
      </c>
      <c r="E140" s="42">
        <v>0.53</v>
      </c>
    </row>
    <row r="141" spans="1:5" x14ac:dyDescent="0.25">
      <c r="A141" t="s">
        <v>290</v>
      </c>
      <c r="B141" s="42">
        <v>0.38</v>
      </c>
      <c r="C141" s="42">
        <v>0.61</v>
      </c>
      <c r="D141" s="42">
        <v>0.32</v>
      </c>
      <c r="E141" s="42">
        <v>0.53</v>
      </c>
    </row>
    <row r="142" spans="1:5" x14ac:dyDescent="0.25">
      <c r="A142" t="s">
        <v>291</v>
      </c>
      <c r="B142" s="42">
        <v>0.38</v>
      </c>
      <c r="C142" s="42">
        <v>0.61</v>
      </c>
      <c r="D142" s="42">
        <v>0.32</v>
      </c>
      <c r="E142" s="42">
        <v>0.53</v>
      </c>
    </row>
    <row r="143" spans="1:5" x14ac:dyDescent="0.25">
      <c r="A143" t="s">
        <v>292</v>
      </c>
      <c r="B143" s="42">
        <v>0.38</v>
      </c>
      <c r="C143" s="42">
        <v>0.61</v>
      </c>
      <c r="D143" s="42">
        <v>0.32</v>
      </c>
      <c r="E143" s="42">
        <v>0.53</v>
      </c>
    </row>
    <row r="144" spans="1:5" x14ac:dyDescent="0.25">
      <c r="A144" t="s">
        <v>293</v>
      </c>
      <c r="B144" s="42">
        <v>0.38</v>
      </c>
      <c r="C144" s="42">
        <v>0.61</v>
      </c>
      <c r="D144" s="42">
        <v>0.28999999999999998</v>
      </c>
      <c r="E144" s="42">
        <v>0.53</v>
      </c>
    </row>
    <row r="145" spans="1:5" x14ac:dyDescent="0.25">
      <c r="A145" t="s">
        <v>294</v>
      </c>
      <c r="B145" s="42">
        <v>0.38</v>
      </c>
      <c r="C145" s="42">
        <v>0.61</v>
      </c>
      <c r="D145" s="42">
        <v>0.28999999999999998</v>
      </c>
      <c r="E145" s="42">
        <v>0.53</v>
      </c>
    </row>
    <row r="146" spans="1:5" x14ac:dyDescent="0.25">
      <c r="A146" t="s">
        <v>34</v>
      </c>
      <c r="B146" s="42">
        <v>0.41</v>
      </c>
      <c r="C146" s="42"/>
      <c r="D146" s="42">
        <v>0.26</v>
      </c>
      <c r="E146" s="42">
        <v>0.48</v>
      </c>
    </row>
    <row r="147" spans="1:5" x14ac:dyDescent="0.25">
      <c r="A147" t="s">
        <v>80</v>
      </c>
      <c r="B147" s="41">
        <v>0.41</v>
      </c>
      <c r="C147" s="41"/>
      <c r="D147" s="41">
        <v>0.26</v>
      </c>
      <c r="E147" s="41">
        <v>0.48</v>
      </c>
    </row>
    <row r="148" spans="1:5" x14ac:dyDescent="0.25">
      <c r="A148" t="s">
        <v>295</v>
      </c>
      <c r="B148" s="42">
        <v>0.41</v>
      </c>
      <c r="C148" s="42">
        <v>0.64</v>
      </c>
      <c r="D148" s="42">
        <v>0.24</v>
      </c>
      <c r="E148" s="42">
        <v>0.45</v>
      </c>
    </row>
    <row r="149" spans="1:5" x14ac:dyDescent="0.25">
      <c r="A149" t="s">
        <v>296</v>
      </c>
      <c r="B149" s="42">
        <v>0.43</v>
      </c>
      <c r="C149" s="42">
        <v>0.73</v>
      </c>
      <c r="D149" s="42">
        <v>0.31</v>
      </c>
      <c r="E149" s="42">
        <v>0.65</v>
      </c>
    </row>
    <row r="150" spans="1:5" x14ac:dyDescent="0.25">
      <c r="A150" t="s">
        <v>297</v>
      </c>
      <c r="B150" s="42">
        <v>0.43</v>
      </c>
      <c r="C150" s="42">
        <v>0.73</v>
      </c>
      <c r="D150" s="42">
        <v>0.31</v>
      </c>
      <c r="E150" s="42">
        <v>0.65</v>
      </c>
    </row>
    <row r="151" spans="1:5" x14ac:dyDescent="0.25">
      <c r="A151" t="s">
        <v>298</v>
      </c>
      <c r="B151" s="42">
        <v>0.41</v>
      </c>
      <c r="C151" s="42"/>
      <c r="D151" s="42">
        <v>0.24</v>
      </c>
      <c r="E151" s="42">
        <v>0.45</v>
      </c>
    </row>
    <row r="152" spans="1:5" x14ac:dyDescent="0.25">
      <c r="A152" t="s">
        <v>48</v>
      </c>
      <c r="B152" s="41">
        <v>0.41</v>
      </c>
      <c r="C152" s="41">
        <v>0.62</v>
      </c>
      <c r="D152" s="41">
        <v>0.24</v>
      </c>
      <c r="E152" s="41">
        <v>0.45</v>
      </c>
    </row>
    <row r="153" spans="1:5" x14ac:dyDescent="0.25">
      <c r="A153" t="s">
        <v>299</v>
      </c>
      <c r="B153" s="42"/>
      <c r="C153" s="42"/>
      <c r="D153" s="42">
        <v>0.17</v>
      </c>
      <c r="E153" s="42">
        <v>0.38</v>
      </c>
    </row>
    <row r="154" spans="1:5" x14ac:dyDescent="0.25">
      <c r="A154" t="s">
        <v>300</v>
      </c>
      <c r="B154" s="42">
        <v>0.25</v>
      </c>
      <c r="C154" s="42">
        <v>0.5</v>
      </c>
      <c r="D154" s="42">
        <v>0.17</v>
      </c>
      <c r="E154" s="42">
        <v>0.38</v>
      </c>
    </row>
    <row r="155" spans="1:5" x14ac:dyDescent="0.25">
      <c r="A155" t="s">
        <v>301</v>
      </c>
      <c r="B155" s="42">
        <v>0.25</v>
      </c>
      <c r="C155" s="42">
        <v>0.5</v>
      </c>
      <c r="D155" s="42">
        <v>0.17</v>
      </c>
      <c r="E155" s="42">
        <v>0.38</v>
      </c>
    </row>
    <row r="156" spans="1:5" x14ac:dyDescent="0.25">
      <c r="A156" t="s">
        <v>302</v>
      </c>
      <c r="B156" s="42">
        <v>0.15</v>
      </c>
      <c r="C156" s="42">
        <v>0.3</v>
      </c>
      <c r="D156" s="42">
        <v>0.13</v>
      </c>
      <c r="E156" s="42">
        <v>0.23</v>
      </c>
    </row>
    <row r="157" spans="1:5" x14ac:dyDescent="0.25">
      <c r="A157" t="s">
        <v>303</v>
      </c>
      <c r="B157" s="42">
        <v>0.25</v>
      </c>
      <c r="C157" s="42">
        <v>0.5</v>
      </c>
      <c r="D157" s="42">
        <v>0.17</v>
      </c>
      <c r="E157" s="42">
        <v>0.38</v>
      </c>
    </row>
    <row r="158" spans="1:5" x14ac:dyDescent="0.25">
      <c r="A158" t="s">
        <v>75</v>
      </c>
      <c r="B158" s="42">
        <v>0.25</v>
      </c>
      <c r="C158" s="42">
        <v>0.5</v>
      </c>
      <c r="D158" s="42">
        <v>0.17</v>
      </c>
      <c r="E158" s="42">
        <v>0.38</v>
      </c>
    </row>
    <row r="159" spans="1:5" x14ac:dyDescent="0.25">
      <c r="A159" t="s">
        <v>42</v>
      </c>
      <c r="B159" s="42"/>
      <c r="C159" s="42"/>
      <c r="D159" s="42">
        <v>0.13</v>
      </c>
      <c r="E159" s="42">
        <v>0.23</v>
      </c>
    </row>
    <row r="160" spans="1:5" x14ac:dyDescent="0.25">
      <c r="A160" t="s">
        <v>304</v>
      </c>
      <c r="B160" s="42">
        <v>0.25</v>
      </c>
      <c r="C160" s="42">
        <v>0.5</v>
      </c>
      <c r="D160" s="42">
        <v>0.17</v>
      </c>
      <c r="E160" s="42">
        <v>0.38</v>
      </c>
    </row>
    <row r="161" spans="1:5" x14ac:dyDescent="0.25">
      <c r="A161" t="s">
        <v>147</v>
      </c>
      <c r="B161" s="42">
        <v>0.36</v>
      </c>
      <c r="C161" s="42">
        <v>0.62</v>
      </c>
      <c r="D161" s="42">
        <v>0.27</v>
      </c>
      <c r="E161" s="42">
        <v>0.54</v>
      </c>
    </row>
    <row r="162" spans="1:5" x14ac:dyDescent="0.25">
      <c r="A162" t="s">
        <v>113</v>
      </c>
      <c r="B162" s="41">
        <v>0.36</v>
      </c>
      <c r="C162" s="41">
        <v>0.57999999999999996</v>
      </c>
      <c r="D162" s="41">
        <v>0.26</v>
      </c>
      <c r="E162" s="41">
        <v>0.49</v>
      </c>
    </row>
    <row r="163" spans="1:5" x14ac:dyDescent="0.25">
      <c r="A163" t="s">
        <v>305</v>
      </c>
      <c r="B163" s="42">
        <v>0.39</v>
      </c>
      <c r="C163" s="42">
        <v>0.6</v>
      </c>
      <c r="D163" s="42">
        <v>0.28000000000000003</v>
      </c>
      <c r="E163" s="42">
        <v>0.5</v>
      </c>
    </row>
    <row r="164" spans="1:5" x14ac:dyDescent="0.25">
      <c r="A164" t="s">
        <v>59</v>
      </c>
      <c r="B164" s="42">
        <v>0.12</v>
      </c>
      <c r="C164" s="42"/>
      <c r="D164" s="42">
        <v>0.24</v>
      </c>
      <c r="E164" s="42">
        <v>0.45</v>
      </c>
    </row>
    <row r="165" spans="1:5" x14ac:dyDescent="0.25">
      <c r="A165" t="s">
        <v>61</v>
      </c>
      <c r="B165" s="42">
        <v>0.36</v>
      </c>
      <c r="C165" s="42"/>
      <c r="D165" s="42">
        <v>0.27</v>
      </c>
      <c r="E165" s="42">
        <v>0.49</v>
      </c>
    </row>
    <row r="166" spans="1:5" x14ac:dyDescent="0.25">
      <c r="A166" t="s">
        <v>93</v>
      </c>
      <c r="B166" s="42">
        <v>0.36</v>
      </c>
      <c r="C166" s="42">
        <v>0.57999999999999996</v>
      </c>
      <c r="D166" s="42">
        <v>0.27</v>
      </c>
      <c r="E166" s="42">
        <v>0.49</v>
      </c>
    </row>
    <row r="167" spans="1:5" x14ac:dyDescent="0.25">
      <c r="A167" t="s">
        <v>306</v>
      </c>
      <c r="B167" s="42">
        <v>0.39</v>
      </c>
      <c r="C167" s="42">
        <v>0.6</v>
      </c>
      <c r="D167" s="42">
        <v>0.27</v>
      </c>
      <c r="E167" s="42">
        <v>0.5</v>
      </c>
    </row>
    <row r="168" spans="1:5" x14ac:dyDescent="0.25">
      <c r="A168" t="s">
        <v>307</v>
      </c>
      <c r="B168" s="42">
        <v>0.41</v>
      </c>
      <c r="C168" s="42">
        <v>0.65</v>
      </c>
      <c r="D168" s="42">
        <v>0.32</v>
      </c>
      <c r="E168" s="42">
        <v>0.57999999999999996</v>
      </c>
    </row>
    <row r="169" spans="1:5" x14ac:dyDescent="0.25">
      <c r="A169" t="s">
        <v>308</v>
      </c>
      <c r="B169" s="42">
        <v>0.41</v>
      </c>
      <c r="C169" s="42">
        <v>0.65</v>
      </c>
      <c r="D169" s="42">
        <v>0.32</v>
      </c>
      <c r="E169" s="42">
        <v>0.57999999999999996</v>
      </c>
    </row>
    <row r="170" spans="1:5" x14ac:dyDescent="0.25">
      <c r="A170" t="s">
        <v>97</v>
      </c>
      <c r="B170" s="42">
        <v>0.42</v>
      </c>
      <c r="C170" s="42">
        <v>0.72</v>
      </c>
      <c r="D170" s="42">
        <v>0.31</v>
      </c>
      <c r="E170" s="42">
        <v>0.65</v>
      </c>
    </row>
    <row r="171" spans="1:5" x14ac:dyDescent="0.25">
      <c r="A171" t="s">
        <v>309</v>
      </c>
      <c r="B171" s="42">
        <v>0.42</v>
      </c>
      <c r="C171" s="42">
        <v>0.72</v>
      </c>
      <c r="D171" s="42">
        <v>0.31</v>
      </c>
      <c r="E171" s="42">
        <v>0.65</v>
      </c>
    </row>
    <row r="172" spans="1:5" x14ac:dyDescent="0.25">
      <c r="A172" t="s">
        <v>310</v>
      </c>
      <c r="B172" s="42">
        <v>0.42</v>
      </c>
      <c r="C172" s="42">
        <v>0.72</v>
      </c>
      <c r="D172" s="42">
        <v>0.31</v>
      </c>
      <c r="E172" s="42">
        <v>0.65</v>
      </c>
    </row>
    <row r="173" spans="1:5" x14ac:dyDescent="0.25">
      <c r="A173" t="s">
        <v>311</v>
      </c>
      <c r="B173" s="42">
        <v>0.42</v>
      </c>
      <c r="C173" s="42">
        <v>0.72</v>
      </c>
      <c r="D173" s="42">
        <v>0.31</v>
      </c>
      <c r="E173" s="42">
        <v>0.65</v>
      </c>
    </row>
    <row r="174" spans="1:5" x14ac:dyDescent="0.25">
      <c r="A174" t="s">
        <v>85</v>
      </c>
      <c r="B174" s="42">
        <v>0.42</v>
      </c>
      <c r="C174" s="42">
        <v>0.72</v>
      </c>
      <c r="D174" s="42">
        <v>0.31</v>
      </c>
      <c r="E174" s="42">
        <v>0.65</v>
      </c>
    </row>
    <row r="175" spans="1:5" x14ac:dyDescent="0.25">
      <c r="A175" t="s">
        <v>94</v>
      </c>
      <c r="B175" s="42">
        <v>0.42</v>
      </c>
      <c r="C175" s="42">
        <v>0.72</v>
      </c>
      <c r="D175" s="42">
        <v>0.31</v>
      </c>
      <c r="E175" s="42">
        <v>0.65</v>
      </c>
    </row>
    <row r="176" spans="1:5" x14ac:dyDescent="0.25">
      <c r="A176" t="s">
        <v>312</v>
      </c>
      <c r="B176" s="42">
        <v>0.42</v>
      </c>
      <c r="C176" s="42">
        <v>0.72</v>
      </c>
      <c r="D176" s="42">
        <v>0.31</v>
      </c>
      <c r="E176" s="42">
        <v>0.65</v>
      </c>
    </row>
    <row r="177" spans="1:5" x14ac:dyDescent="0.25">
      <c r="A177" t="s">
        <v>313</v>
      </c>
      <c r="B177" s="42">
        <v>0.42</v>
      </c>
      <c r="C177" s="42">
        <v>0.72</v>
      </c>
      <c r="D177" s="42">
        <v>0.31</v>
      </c>
      <c r="E177" s="42">
        <v>0.65</v>
      </c>
    </row>
    <row r="178" spans="1:5" x14ac:dyDescent="0.25">
      <c r="A178" t="s">
        <v>219</v>
      </c>
      <c r="B178" s="42">
        <v>0.35</v>
      </c>
      <c r="C178" s="42">
        <v>0.63</v>
      </c>
      <c r="D178" s="42">
        <v>0.17</v>
      </c>
      <c r="E178" s="42">
        <v>0.38</v>
      </c>
    </row>
    <row r="179" spans="1:5" x14ac:dyDescent="0.25">
      <c r="A179" t="s">
        <v>314</v>
      </c>
      <c r="B179" s="42">
        <v>0.38</v>
      </c>
      <c r="C179" s="42">
        <v>0.6</v>
      </c>
      <c r="D179" s="42">
        <v>0.17</v>
      </c>
      <c r="E179" s="42">
        <v>0.38</v>
      </c>
    </row>
    <row r="180" spans="1:5" x14ac:dyDescent="0.25">
      <c r="A180" t="s">
        <v>315</v>
      </c>
      <c r="B180" s="42">
        <v>0.25</v>
      </c>
      <c r="C180" s="42">
        <v>0.45</v>
      </c>
      <c r="D180" s="42">
        <v>0.17</v>
      </c>
      <c r="E180" s="42">
        <v>0.38</v>
      </c>
    </row>
    <row r="181" spans="1:5" x14ac:dyDescent="0.25">
      <c r="A181" t="s">
        <v>316</v>
      </c>
      <c r="B181" s="42">
        <v>0.36</v>
      </c>
      <c r="C181" s="42">
        <v>0.62</v>
      </c>
      <c r="D181" s="42">
        <v>0.27</v>
      </c>
      <c r="E181" s="42">
        <v>0.47</v>
      </c>
    </row>
    <row r="182" spans="1:5" x14ac:dyDescent="0.25">
      <c r="A182" t="s">
        <v>29</v>
      </c>
      <c r="B182" s="41">
        <v>0.36</v>
      </c>
      <c r="C182" s="41">
        <v>0.62</v>
      </c>
      <c r="D182" s="41">
        <v>0.27</v>
      </c>
      <c r="E182" s="41">
        <v>0.47</v>
      </c>
    </row>
    <row r="183" spans="1:5" x14ac:dyDescent="0.25">
      <c r="A183" t="s">
        <v>317</v>
      </c>
      <c r="B183" s="42">
        <v>0.25</v>
      </c>
      <c r="C183" s="42">
        <v>0.45</v>
      </c>
      <c r="D183" s="42">
        <v>0.17</v>
      </c>
      <c r="E183" s="42">
        <v>0.38</v>
      </c>
    </row>
    <row r="184" spans="1:5" x14ac:dyDescent="0.25">
      <c r="A184" t="s">
        <v>318</v>
      </c>
      <c r="B184" s="42">
        <v>0.36</v>
      </c>
      <c r="C184" s="42">
        <v>0.56000000000000005</v>
      </c>
      <c r="D184" s="42">
        <v>0.16</v>
      </c>
      <c r="E184" s="42">
        <v>0.38</v>
      </c>
    </row>
    <row r="185" spans="1:5" x14ac:dyDescent="0.25">
      <c r="A185" t="s">
        <v>319</v>
      </c>
      <c r="B185" s="42">
        <v>0.36</v>
      </c>
      <c r="C185" s="42">
        <v>0.56000000000000005</v>
      </c>
      <c r="D185" s="42">
        <v>0.16</v>
      </c>
      <c r="E185" s="42">
        <v>0.38</v>
      </c>
    </row>
    <row r="186" spans="1:5" x14ac:dyDescent="0.25">
      <c r="A186" t="s">
        <v>69</v>
      </c>
      <c r="B186" s="42"/>
      <c r="C186" s="42"/>
      <c r="D186" s="42">
        <v>0.27</v>
      </c>
      <c r="E186" s="42">
        <v>0.47</v>
      </c>
    </row>
    <row r="187" spans="1:5" x14ac:dyDescent="0.25">
      <c r="A187" t="s">
        <v>146</v>
      </c>
      <c r="B187" s="42"/>
      <c r="C187" s="42"/>
      <c r="D187" s="42">
        <v>0.27</v>
      </c>
      <c r="E187" s="42">
        <v>0.47</v>
      </c>
    </row>
    <row r="188" spans="1:5" x14ac:dyDescent="0.25">
      <c r="A188" t="s">
        <v>320</v>
      </c>
      <c r="B188" s="42">
        <v>0.36</v>
      </c>
      <c r="C188" s="42">
        <v>0.56000000000000005</v>
      </c>
      <c r="D188" s="42">
        <v>0.14000000000000001</v>
      </c>
      <c r="E188" s="42">
        <v>0.48</v>
      </c>
    </row>
    <row r="189" spans="1:5" x14ac:dyDescent="0.25">
      <c r="A189" t="s">
        <v>321</v>
      </c>
      <c r="B189" s="42">
        <v>0.31</v>
      </c>
      <c r="C189" s="42">
        <v>0.6</v>
      </c>
      <c r="D189" s="42">
        <v>0.17</v>
      </c>
      <c r="E189" s="42">
        <v>0.5</v>
      </c>
    </row>
    <row r="190" spans="1:5" x14ac:dyDescent="0.25">
      <c r="A190" t="s">
        <v>322</v>
      </c>
      <c r="B190" s="42">
        <v>0.51</v>
      </c>
      <c r="C190" s="42"/>
      <c r="D190" s="42">
        <v>0.17</v>
      </c>
      <c r="E190" s="42">
        <v>0.38</v>
      </c>
    </row>
    <row r="191" spans="1:5" x14ac:dyDescent="0.25">
      <c r="A191" t="s">
        <v>323</v>
      </c>
      <c r="B191" s="42">
        <v>0.36</v>
      </c>
      <c r="C191" s="42">
        <v>0.56000000000000005</v>
      </c>
      <c r="D191" s="42" t="s">
        <v>10</v>
      </c>
      <c r="E191" s="42" t="s">
        <v>10</v>
      </c>
    </row>
    <row r="192" spans="1:5" x14ac:dyDescent="0.25">
      <c r="A192" t="s">
        <v>324</v>
      </c>
      <c r="B192" s="42">
        <v>0.36</v>
      </c>
      <c r="C192" s="42">
        <v>0.56000000000000005</v>
      </c>
      <c r="D192" s="42" t="s">
        <v>10</v>
      </c>
      <c r="E192" s="42" t="s">
        <v>10</v>
      </c>
    </row>
    <row r="193" spans="1:5" x14ac:dyDescent="0.25">
      <c r="A193" t="s">
        <v>325</v>
      </c>
      <c r="B193" s="42">
        <v>0.36</v>
      </c>
      <c r="C193" s="42">
        <v>0.56000000000000005</v>
      </c>
      <c r="D193" s="42" t="s">
        <v>10</v>
      </c>
      <c r="E193" s="42" t="s">
        <v>10</v>
      </c>
    </row>
    <row r="194" spans="1:5" x14ac:dyDescent="0.25">
      <c r="A194" t="s">
        <v>326</v>
      </c>
      <c r="B194" s="42">
        <v>0.3</v>
      </c>
      <c r="C194" s="42">
        <v>0.5</v>
      </c>
      <c r="D194" s="42">
        <v>0.24</v>
      </c>
      <c r="E194" s="42">
        <v>0.44</v>
      </c>
    </row>
    <row r="195" spans="1:5" x14ac:dyDescent="0.25">
      <c r="A195" t="s">
        <v>327</v>
      </c>
      <c r="B195" s="42">
        <v>0.36</v>
      </c>
      <c r="C195" s="42">
        <v>0.56000000000000005</v>
      </c>
      <c r="D195" s="42" t="s">
        <v>10</v>
      </c>
      <c r="E195" s="42" t="s">
        <v>10</v>
      </c>
    </row>
    <row r="196" spans="1:5" x14ac:dyDescent="0.25">
      <c r="A196" t="s">
        <v>328</v>
      </c>
      <c r="B196" s="42"/>
      <c r="C196" s="42"/>
      <c r="D196" s="42">
        <v>0.28000000000000003</v>
      </c>
      <c r="E196" s="42">
        <v>0.48</v>
      </c>
    </row>
    <row r="197" spans="1:5" x14ac:dyDescent="0.25">
      <c r="A197" t="s">
        <v>329</v>
      </c>
      <c r="B197" s="42">
        <v>0.36</v>
      </c>
      <c r="C197" s="42">
        <v>0.56000000000000005</v>
      </c>
      <c r="D197" s="42">
        <v>0.17</v>
      </c>
      <c r="E197" s="42">
        <v>0.38</v>
      </c>
    </row>
    <row r="198" spans="1:5" x14ac:dyDescent="0.25">
      <c r="A198" t="s">
        <v>330</v>
      </c>
      <c r="B198" s="42">
        <v>0.22</v>
      </c>
      <c r="C198" s="42">
        <v>0.45</v>
      </c>
      <c r="D198" s="42">
        <v>0.18</v>
      </c>
      <c r="E198" s="42">
        <v>0.36</v>
      </c>
    </row>
    <row r="199" spans="1:5" x14ac:dyDescent="0.25">
      <c r="A199" t="s">
        <v>330</v>
      </c>
      <c r="B199" s="42">
        <v>0.23</v>
      </c>
      <c r="C199" s="42">
        <v>0.45</v>
      </c>
      <c r="D199" s="42">
        <v>0.18</v>
      </c>
      <c r="E199" s="42">
        <v>0.36</v>
      </c>
    </row>
    <row r="200" spans="1:5" x14ac:dyDescent="0.25">
      <c r="A200" t="s">
        <v>72</v>
      </c>
      <c r="B200" s="42"/>
      <c r="C200" s="42"/>
      <c r="D200" s="42">
        <v>0.17</v>
      </c>
      <c r="E200" s="42">
        <v>0.38</v>
      </c>
    </row>
    <row r="201" spans="1:5" x14ac:dyDescent="0.25">
      <c r="A201" t="s">
        <v>331</v>
      </c>
      <c r="B201" s="42"/>
      <c r="C201" s="42"/>
      <c r="D201" s="42">
        <v>0.22</v>
      </c>
      <c r="E201" s="42">
        <v>0.38</v>
      </c>
    </row>
  </sheetData>
  <mergeCells count="1">
    <mergeCell ref="B5:E5"/>
  </mergeCell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BF7368-C19E-405D-962B-13734B92DBD2}">
  <ds:schemaRefs>
    <ds:schemaRef ds:uri="http://schemas.microsoft.com/DataMashup"/>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VersionHistory</vt:lpstr>
      <vt:lpstr>Intro</vt:lpstr>
      <vt:lpstr>Instructions</vt:lpstr>
      <vt:lpstr>Parameters</vt:lpstr>
      <vt:lpstr>Data - SpendByPricingModel</vt:lpstr>
      <vt:lpstr>Data - SpendByVMFamily</vt:lpstr>
      <vt:lpstr>DiscountCalculator</vt:lpstr>
      <vt:lpstr>Pivots</vt:lpstr>
      <vt:lpstr>Summary</vt:lpstr>
      <vt:lpstr>SavingsPlan</vt:lpstr>
      <vt:lpstr>Discounts</vt:lpstr>
      <vt:lpstr>AVGDISCSP1Y</vt:lpstr>
      <vt:lpstr>AVGDISCSP3Y</vt:lpstr>
      <vt:lpstr>CSVPATH</vt:lpstr>
      <vt:lpstr>CURR</vt:lpstr>
      <vt:lpstr>CUSTNAME</vt:lpstr>
      <vt:lpstr>GROWTH</vt:lpstr>
      <vt:lpstr>PAYGDISC</vt:lpstr>
      <vt:lpstr>RIEXTRADISC</vt:lpstr>
      <vt:lpstr>SPCOMMIT</vt:lpstr>
      <vt:lpstr>SPDISC</vt:lpstr>
      <vt:lpstr>SPEXTRADISC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Donovan Hughes</dc:creator>
  <cp:lastModifiedBy>Donovan Hughes</cp:lastModifiedBy>
  <dcterms:created xsi:type="dcterms:W3CDTF">2023-12-27T12:12:26Z</dcterms:created>
  <dcterms:modified xsi:type="dcterms:W3CDTF">2026-06-08T08:17:20Z</dcterms:modified>
</cp:coreProperties>
</file>